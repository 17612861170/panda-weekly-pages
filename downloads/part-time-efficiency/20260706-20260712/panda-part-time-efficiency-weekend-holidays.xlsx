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ef7683163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老板总览" sheetId="1" r:id="R29c3e3a4f5da4cfd"/>
    <x:sheet xmlns:r="http://schemas.openxmlformats.org/officeDocument/2006/relationships" name="门店周数据录入" sheetId="2" r:id="R8f011e71f477434e"/>
    <x:sheet xmlns:r="http://schemas.openxmlformats.org/officeDocument/2006/relationships" name="规则参数" sheetId="3" r:id="R1253bb6e6d294ee9"/>
    <x:sheet xmlns:r="http://schemas.openxmlformats.org/officeDocument/2006/relationships" name="引流周汇总" sheetId="4" r:id="R2626f9de7b454ea5"/>
    <x:sheet xmlns:r="http://schemas.openxmlformats.org/officeDocument/2006/relationships" name="复位周汇总" sheetId="5" r:id="Rfeba62da540a461f"/>
    <x:sheet xmlns:r="http://schemas.openxmlformats.org/officeDocument/2006/relationships" name="数据校验" sheetId="6" r:id="R7806ec96959b488b"/>
    <x:sheet xmlns:r="http://schemas.openxmlformats.org/officeDocument/2006/relationships" name="店长每日填写模板" sheetId="7" r:id="R391de2d816364d9f"/>
    <x:sheet xmlns:r="http://schemas.openxmlformats.org/officeDocument/2006/relationships" name="口径说明" sheetId="8" r:id="R6719c8ddc83647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%"/>
    <x:numFmt numFmtId="201" formatCode="#,##0.00"/>
    <x:numFmt numFmtId="202" formatCode="0.00&quot;x&quot;"/>
    <x:numFmt numFmtId="203" formatCode="0"/>
    <x:numFmt numFmtId="204" formatCode="#,##0"/>
    <x:numFmt numFmtId="205" formatCode="0.00"/>
    <x:numFmt numFmtId="206" formatCode="yyyy-mm-dd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0"/>
      <x:color rgb="FFFFFFFF"/>
      <x:name val="Carlito"/>
    </x:font>
    <x:font>
      <x:sz val="10"/>
      <x:color rgb="FF24343D"/>
      <x:name val="Carlito"/>
    </x:font>
    <x:font>
      <x:sz val="10"/>
      <x:color rgb="FF245873"/>
      <x:name val="Carlito"/>
    </x:font>
    <x:font>
      <x:sz val="9"/>
      <x:color rgb="FF5F6F78"/>
      <x:name val="Carlito"/>
    </x:font>
    <x:font>
      <x:b/>
      <x:sz val="9"/>
      <x:color rgb="FFFFFFFF"/>
      <x:name val="Carlito"/>
    </x:font>
    <x:font>
      <x:b/>
      <x:sz val="17"/>
      <x:color rgb="FF1F4E7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9766F"/>
      </x:patternFill>
    </x:fill>
    <x:fill>
      <x:patternFill patternType="solid">
        <x:fgColor rgb="FFFFF6CC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  <x:fill>
      <x:patternFill patternType="solid">
        <x:fgColor rgb="FFFFFFFF"/>
      </x:patternFill>
    </x:fill>
  </x:fills>
  <x:borders count="11">
    <x:border/>
    <x:border>
      <x:left style="thin">
        <x:color rgb="FF19766F"/>
      </x:left>
      <x:top style="thin">
        <x:color rgb="FF19766F"/>
      </x:top>
      <x:bottom style="thin">
        <x:color rgb="FF19766F"/>
      </x:bottom>
    </x:border>
    <x:border>
      <x:top style="thin">
        <x:color rgb="FF19766F"/>
      </x:top>
      <x:bottom style="thin">
        <x:color rgb="FF19766F"/>
      </x:bottom>
    </x:border>
    <x:border>
      <x:right style="thin">
        <x:color rgb="FF19766F"/>
      </x:right>
      <x:top style="thin">
        <x:color rgb="FF19766F"/>
      </x:top>
      <x:bottom style="thin">
        <x:color rgb="FF19766F"/>
      </x:bottom>
    </x:border>
    <x:border>
      <x:bottom style="thin">
        <x:color rgb="FFD7E1E8"/>
      </x:bottom>
    </x:border>
    <x:border>
      <x:top style="thin">
        <x:color rgb="FFD7E1E8"/>
      </x:top>
      <x:bottom style="thin">
        <x:color rgb="FFD7E1E8"/>
      </x:bottom>
    </x:border>
    <x:border>
      <x:top style="thin">
        <x:color rgb="FFD7E1E8"/>
      </x:top>
    </x:border>
    <x:border>
      <x:left style="thin">
        <x:color rgb="FFD7E1E8"/>
      </x:left>
      <x:top style="thin">
        <x:color rgb="FFD7E1E8"/>
      </x:top>
    </x:border>
    <x:border>
      <x:right style="thin">
        <x:color rgb="FFD7E1E8"/>
      </x:right>
      <x:top style="thin">
        <x:color rgb="FFD7E1E8"/>
      </x:top>
    </x:border>
    <x:border>
      <x:left style="thin">
        <x:color rgb="FFD7E1E8"/>
      </x:left>
      <x:bottom style="thin">
        <x:color rgb="FFD7E1E8"/>
      </x:bottom>
    </x:border>
    <x:border>
      <x:right style="thin">
        <x:color rgb="FFD7E1E8"/>
      </x:right>
      <x:bottom style="thin">
        <x:color rgb="FFD7E1E8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200" fontId="3" fillId="4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5" borderId="4" xfId="0" applyNumberFormat="1" applyFont="1" applyFill="1" applyBorder="1" applyAlignment="1">
      <x:alignment vertical="center"/>
    </x:xf>
    <x:xf numFmtId="0" fontId="3" fillId="5" borderId="5" xfId="0" applyNumberFormat="1" applyFont="1" applyFill="1" applyBorder="1" applyAlignment="1">
      <x:alignment vertical="center"/>
    </x:xf>
    <x:xf numFmtId="0" fontId="3" fillId="5" borderId="6" xfId="0" applyNumberFormat="1" applyFont="1" applyFill="1" applyBorder="1" applyAlignment="1">
      <x:alignment vertical="center"/>
    </x:xf>
    <x:xf numFmtId="201" fontId="3" fillId="4" borderId="4" xfId="0" applyNumberFormat="1" applyFont="1" applyFill="1" applyBorder="1" applyAlignment="1">
      <x:alignment vertical="center"/>
    </x:xf>
    <x:xf numFmtId="201" fontId="3" fillId="4" borderId="5" xfId="0" applyNumberFormat="1" applyFont="1" applyFill="1" applyBorder="1" applyAlignment="1">
      <x:alignment vertical="center"/>
    </x:xf>
    <x:xf numFmtId="201" fontId="3" fillId="4" borderId="6" xfId="0" applyNumberFormat="1" applyFont="1" applyFill="1" applyBorder="1" applyAlignment="1">
      <x:alignment vertical="center"/>
    </x:xf>
    <x:xf numFmtId="201" fontId="3" fillId="5" borderId="4" xfId="0" applyNumberFormat="1" applyFont="1" applyFill="1" applyBorder="1" applyAlignment="1">
      <x:alignment vertical="center"/>
    </x:xf>
    <x:xf numFmtId="201" fontId="3" fillId="5" borderId="5" xfId="0" applyNumberFormat="1" applyFont="1" applyFill="1" applyBorder="1" applyAlignment="1">
      <x:alignment vertical="center"/>
    </x:xf>
    <x:xf numFmtId="201" fontId="3" fillId="5" borderId="6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horizont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7" xfId="0" applyNumberFormat="1" applyFont="1" applyFill="1" applyBorder="1" applyAlignment="1">
      <x:alignment horizontal="center"/>
    </x:xf>
    <x:xf numFmtId="0" fontId="7" fillId="7" borderId="8" xfId="0" applyNumberFormat="1" applyFont="1" applyFill="1" applyBorder="1" applyAlignment="1">
      <x:alignment horizontal="center"/>
    </x:xf>
    <x:xf numFmtId="0" fontId="7" fillId="7" borderId="9" xfId="0" applyNumberFormat="1" applyFont="1" applyFill="1" applyBorder="1" applyAlignment="1">
      <x:alignment horizontal="center"/>
    </x:xf>
    <x:xf numFmtId="0" fontId="7" fillId="7" borderId="10" xfId="0" applyNumberFormat="1" applyFont="1" applyFill="1" applyBorder="1" applyAlignment="1">
      <x:alignment horizontal="center"/>
    </x:xf>
    <x:xf numFmtId="0" fontId="7" fillId="7" borderId="7" xfId="0" applyNumberFormat="1" applyFont="1" applyFill="1" applyBorder="1" applyAlignment="1">
      <x:alignment horizontal="center" vertical="center"/>
    </x:xf>
    <x:xf numFmtId="0" fontId="7" fillId="7" borderId="8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7" fillId="7" borderId="10" xfId="0" applyNumberFormat="1" applyFont="1" applyFill="1" applyBorder="1" applyAlignment="1">
      <x:alignment horizontal="center" vertical="center"/>
    </x:xf>
    <x:xf numFmtId="203" fontId="7" fillId="7" borderId="7" xfId="0" applyNumberFormat="1" applyFont="1" applyFill="1" applyBorder="1" applyAlignment="1">
      <x:alignment horizontal="center" vertical="center"/>
    </x:xf>
    <x:xf numFmtId="203" fontId="7" fillId="7" borderId="8" xfId="0" applyNumberFormat="1" applyFont="1" applyFill="1" applyBorder="1" applyAlignment="1">
      <x:alignment horizontal="center" vertical="center"/>
    </x:xf>
    <x:xf numFmtId="203" fontId="7" fillId="7" borderId="9" xfId="0" applyNumberFormat="1" applyFont="1" applyFill="1" applyBorder="1" applyAlignment="1">
      <x:alignment horizontal="center" vertical="center"/>
    </x:xf>
    <x:xf numFmtId="203" fontId="7" fillId="7" borderId="10" xfId="0" applyNumberFormat="1" applyFont="1" applyFill="1" applyBorder="1" applyAlignment="1">
      <x:alignment horizontal="center" vertical="center"/>
    </x:xf>
    <x:xf numFmtId="202" fontId="7" fillId="7" borderId="7" xfId="0" applyNumberFormat="1" applyFont="1" applyFill="1" applyBorder="1" applyAlignment="1">
      <x:alignment horizontal="center" vertical="center"/>
    </x:xf>
    <x:xf numFmtId="202" fontId="7" fillId="7" borderId="8" xfId="0" applyNumberFormat="1" applyFont="1" applyFill="1" applyBorder="1" applyAlignment="1">
      <x:alignment horizontal="center" vertical="center"/>
    </x:xf>
    <x:xf numFmtId="202" fontId="7" fillId="7" borderId="9" xfId="0" applyNumberFormat="1" applyFont="1" applyFill="1" applyBorder="1" applyAlignment="1">
      <x:alignment horizontal="center" vertical="center"/>
    </x:xf>
    <x:xf numFmtId="202" fontId="7" fillId="7" borderId="10" xfId="0" applyNumberFormat="1" applyFont="1" applyFill="1" applyBorder="1" applyAlignment="1">
      <x:alignment horizontal="center" vertical="center"/>
    </x:xf>
    <x:xf numFmtId="204" fontId="7" fillId="7" borderId="7" xfId="0" applyNumberFormat="1" applyFont="1" applyFill="1" applyBorder="1" applyAlignment="1">
      <x:alignment horizontal="center" vertical="center"/>
    </x:xf>
    <x:xf numFmtId="204" fontId="7" fillId="7" borderId="8" xfId="0" applyNumberFormat="1" applyFont="1" applyFill="1" applyBorder="1" applyAlignment="1">
      <x:alignment horizontal="center" vertical="center"/>
    </x:xf>
    <x:xf numFmtId="204" fontId="7" fillId="7" borderId="9" xfId="0" applyNumberFormat="1" applyFont="1" applyFill="1" applyBorder="1" applyAlignment="1">
      <x:alignment horizontal="center" vertical="center"/>
    </x:xf>
    <x:xf numFmtId="204" fontId="7" fillId="7" borderId="10" xfId="0" applyNumberFormat="1" applyFont="1" applyFill="1" applyBorder="1" applyAlignment="1">
      <x:alignment horizontal="center" vertical="center"/>
    </x:xf>
    <x:xf numFmtId="205" fontId="7" fillId="7" borderId="7" xfId="0" applyNumberFormat="1" applyFont="1" applyFill="1" applyBorder="1" applyAlignment="1">
      <x:alignment horizontal="center" vertical="center"/>
    </x:xf>
    <x:xf numFmtId="205" fontId="7" fillId="7" borderId="8" xfId="0" applyNumberFormat="1" applyFont="1" applyFill="1" applyBorder="1" applyAlignment="1">
      <x:alignment horizontal="center" vertical="center"/>
    </x:xf>
    <x:xf numFmtId="205" fontId="7" fillId="7" borderId="9" xfId="0" applyNumberFormat="1" applyFont="1" applyFill="1" applyBorder="1" applyAlignment="1">
      <x:alignment horizontal="center" vertical="center"/>
    </x:xf>
    <x:xf numFmtId="205" fontId="7" fillId="7" borderId="10" xfId="0" applyNumberFormat="1" applyFont="1" applyFill="1" applyBorder="1" applyAlignment="1">
      <x:alignment horizontal="center" vertical="center"/>
    </x:xf>
    <x:xf numFmtId="205" fontId="3" fillId="0" borderId="4" xfId="0" applyNumberFormat="1" applyFont="1" applyFill="1" applyBorder="1" applyAlignment="1">
      <x:alignment vertical="center"/>
    </x:xf>
    <x:xf numFmtId="205" fontId="3" fillId="0" borderId="5" xfId="0" applyNumberFormat="1" applyFont="1" applyFill="1" applyBorder="1" applyAlignment="1">
      <x:alignment vertical="center"/>
    </x:xf>
    <x:xf numFmtId="205" fontId="3" fillId="0" borderId="6" xfId="0" applyNumberFormat="1" applyFont="1" applyFill="1" applyBorder="1" applyAlignment="1">
      <x:alignment vertical="center"/>
    </x:xf>
    <x:xf numFmtId="206" fontId="3" fillId="4" borderId="4" xfId="0" applyNumberFormat="1" applyFont="1" applyFill="1" applyBorder="1" applyAlignment="1">
      <x:alignment vertical="center"/>
    </x:xf>
    <x:xf numFmtId="206" fontId="3" fillId="4" borderId="5" xfId="0" applyNumberFormat="1" applyFont="1" applyFill="1" applyBorder="1" applyAlignment="1">
      <x:alignment vertical="center"/>
    </x:xf>
    <x:xf numFmtId="206" fontId="3" fillId="4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75"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2F6B32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f6bb2885f41c9" /><Relationship Type="http://schemas.openxmlformats.org/officeDocument/2006/relationships/theme" Target="/xl/theme/theme1.xml" Id="Rfe6c390757e3442f" /><Relationship Type="http://schemas.openxmlformats.org/officeDocument/2006/relationships/sharedStrings" Target="/xl/sharedStrings.xml" Id="Rd331628aa1474a36" /><Relationship Type="http://schemas.openxmlformats.org/officeDocument/2006/relationships/worksheet" Target="/xl/worksheets/sheet1.xml" Id="R29c3e3a4f5da4cfd" /><Relationship Type="http://schemas.openxmlformats.org/officeDocument/2006/relationships/worksheet" Target="/xl/worksheets/sheet2.xml" Id="R8f011e71f477434e" /><Relationship Type="http://schemas.openxmlformats.org/officeDocument/2006/relationships/worksheet" Target="/xl/worksheets/sheet3.xml" Id="R1253bb6e6d294ee9" /><Relationship Type="http://schemas.openxmlformats.org/officeDocument/2006/relationships/worksheet" Target="/xl/worksheets/sheet4.xml" Id="R2626f9de7b454ea5" /><Relationship Type="http://schemas.openxmlformats.org/officeDocument/2006/relationships/worksheet" Target="/xl/worksheets/sheet5.xml" Id="Rfeba62da540a461f" /><Relationship Type="http://schemas.openxmlformats.org/officeDocument/2006/relationships/worksheet" Target="/xl/worksheets/sheet6.xml" Id="R7806ec96959b488b" /><Relationship Type="http://schemas.openxmlformats.org/officeDocument/2006/relationships/worksheet" Target="/xl/worksheets/sheet7.xml" Id="R391de2d816364d9f" /><Relationship Type="http://schemas.openxmlformats.org/officeDocument/2006/relationships/worksheet" Target="/xl/worksheets/sheet8.xml" Id="R6719c8ddc83647eb" /></Relationships>
</file>

<file path=xl/tables/table1.xml><?xml version="1.0" encoding="utf-8"?>
<x:table xmlns:x="http://schemas.openxmlformats.org/spreadsheetml/2006/main" id="5" name="OwnerStoreView" displayName="OwnerStoreView" ref="A9:R28" headerRowCount="1" totalsRowCount="0" totalsRowShown="0">
  <x:tableColumns count="18">
    <x:tableColumn id="1" name="门店"/>
    <x:tableColumn id="2" name="总营收"/>
    <x:tableColumn id="3" name="引流人数"/>
    <x:tableColumn id="4" name="引流工时"/>
    <x:tableColumn id="5" name="引流实际人工成本"/>
    <x:tableColumn id="6" name="引流成交金额"/>
    <x:tableColumn id="7" name="引流产出倍数"/>
    <x:tableColumn id="8" name="每小时成交"/>
    <x:tableColumn id="9" name="引流数据状态"/>
    <x:tableColumn id="10" name="引流判断"/>
    <x:tableColumn id="11" name="引流下周动作"/>
    <x:tableColumn id="12" name="复位人数"/>
    <x:tableColumn id="13" name="主题数"/>
    <x:tableColumn id="14" name="周末高峰波次"/>
    <x:tableColumn id="15" name="实际波次/人/时"/>
    <x:tableColumn id="16" name="高峰利用率"/>
    <x:tableColumn id="17" name="复位判断"/>
    <x:tableColumn id="18" name="老板关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WeeklyStoreInput" displayName="WeeklyStoreInput" ref="A3:T22" headerRowCount="1" totalsRowCount="0" totalsRowShown="0">
  <x:tableColumns count="20">
    <x:tableColumn id="1" name="区域"/>
    <x:tableColumn id="2" name="门店"/>
    <x:tableColumn id="3" name="店型"/>
    <x:tableColumn id="4" name="主题数"/>
    <x:tableColumn id="5" name="总营收"/>
    <x:tableColumn id="6" name="引流人数"/>
    <x:tableColumn id="7" name="引流工时"/>
    <x:tableColumn id="8" name="引流标准人工成本"/>
    <x:tableColumn id="9" name="主要日期类型"/>
    <x:tableColumn id="10" name="是否含节假日"/>
    <x:tableColumn id="11" name="实际时薪"/>
    <x:tableColumn id="12" name="额外提成/奖励"/>
    <x:tableColumn id="13" name="引流实际人工成本"/>
    <x:tableColumn id="14" name="引流到店人数"/>
    <x:tableColumn id="15" name="引流成交金额"/>
    <x:tableColumn id="16" name="引流办卡数"/>
    <x:tableColumn id="17" name="高峰复位人数（单日平均）"/>
    <x:tableColumn id="18" name="周末14-20唯一账单数"/>
    <x:tableColumn id="19" name="周末高峰复位实际人工成本"/>
    <x:tableColumn id="20" name="数据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LeadSummary" displayName="LeadSummary" ref="A3:T22" headerRowCount="1" totalsRowCount="0" totalsRowShown="0">
  <x:tableColumns count="20">
    <x:tableColumn id="1" name="区域"/>
    <x:tableColumn id="2" name="门店"/>
    <x:tableColumn id="3" name="店型"/>
    <x:tableColumn id="4" name="总营收"/>
    <x:tableColumn id="5" name="引流人数"/>
    <x:tableColumn id="6" name="引流工时"/>
    <x:tableColumn id="7" name="标准人工成本"/>
    <x:tableColumn id="8" name="实际人工成本"/>
    <x:tableColumn id="9" name="成交金额"/>
    <x:tableColumn id="10" name="每1元工资产生成交"/>
    <x:tableColumn id="11" name="每小时成交金额"/>
    <x:tableColumn id="12" name="到店人数"/>
    <x:tableColumn id="13" name="到店成本"/>
    <x:tableColumn id="14" name="办卡数"/>
    <x:tableColumn id="15" name="办卡成本"/>
    <x:tableColumn id="16" name="工资率"/>
    <x:tableColumn id="17" name="数据状态"/>
    <x:tableColumn id="18" name="判断"/>
    <x:tableColumn id="19" name="原因"/>
    <x:tableColumn id="20" name="下周动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setSummary" displayName="ResetSummary" ref="A3:Q22" headerRowCount="1" totalsRowCount="0" totalsRowShown="0">
  <x:tableColumns count="17">
    <x:tableColumn id="1" name="区域"/>
    <x:tableColumn id="2" name="门店"/>
    <x:tableColumn id="3" name="店型"/>
    <x:tableColumn id="4" name="主题数"/>
    <x:tableColumn id="5" name="高峰复位人数（单日平均）"/>
    <x:tableColumn id="6" name="周末高峰唯一账单波次"/>
    <x:tableColumn id="7" name="高峰复位实际人工成本"/>
    <x:tableColumn id="8" name="同时负责主题数"/>
    <x:tableColumn id="9" name="理论最大波次"/>
    <x:tableColumn id="10" name="理论波次/人/时"/>
    <x:tableColumn id="11" name="实际波次/人/时"/>
    <x:tableColumn id="12" name="高峰利用率"/>
    <x:tableColumn id="13" name="单波次人工成本"/>
    <x:tableColumn id="14" name="数据状态"/>
    <x:tableColumn id="15" name="判断"/>
    <x:tableColumn id="16" name="原因"/>
    <x:tableColumn id="17" name="下周动作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DataValidation" displayName="DataValidation" ref="A3:O22" headerRowCount="1" totalsRowCount="0" totalsRowShown="0">
  <x:tableColumns count="15">
    <x:tableColumn id="1" name="区域"/>
    <x:tableColumn id="2" name="门店"/>
    <x:tableColumn id="3" name="引流工时"/>
    <x:tableColumn id="4" name="实际人工成本"/>
    <x:tableColumn id="5" name="隐含时薪"/>
    <x:tableColumn id="6" name="到店数据"/>
    <x:tableColumn id="7" name="办卡数据"/>
    <x:tableColumn id="8" name="成交额/门店营收"/>
    <x:tableColumn id="9" name="金额口径"/>
    <x:tableColumn id="10" name="复位人数"/>
    <x:tableColumn id="11" name="高峰波次"/>
    <x:tableColumn id="12" name="复位成本"/>
    <x:tableColumn id="13" name="复位输入状态"/>
    <x:tableColumn id="14" name="总校验"/>
    <x:tableColumn id="15" name="修正动作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ilyStoreInput" displayName="DailyStoreInput" ref="A3:Q35" headerRowCount="1" totalsRowCount="0" totalsRowShown="0">
  <x:tableColumns count="17">
    <x:tableColumn id="1" name="日期"/>
    <x:tableColumn id="2" name="门店"/>
    <x:tableColumn id="3" name="日期类型"/>
    <x:tableColumn id="4" name="是否节假日"/>
    <x:tableColumn id="5" name="引流人数"/>
    <x:tableColumn id="6" name="引流工时"/>
    <x:tableColumn id="7" name="实际时薪"/>
    <x:tableColumn id="8" name="额外提成/奖励"/>
    <x:tableColumn id="9" name="引流实际人工成本"/>
    <x:tableColumn id="10" name="引流到店人数"/>
    <x:tableColumn id="11" name="引流成交金额"/>
    <x:tableColumn id="12" name="引流办卡数"/>
    <x:tableColumn id="13" name="当日高峰复位人数"/>
    <x:tableColumn id="14" name="当日14-20唯一账单数"/>
    <x:tableColumn id="15" name="复位高峰工时"/>
    <x:tableColumn id="16" name="复位实际人工成本"/>
    <x:tableColumn id="1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bc13e379e514ae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fd60708f1840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8a43053dc547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cdef1401f94c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6f3667636a348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5c2ee508e64464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.5600004196167" hidden="0" customWidth="1"/>
    <x:col min="3" max="3" width="8.670000076293945" hidden="0" customWidth="1"/>
    <x:col min="4" max="4" width="8.670000076293945" hidden="0" customWidth="1"/>
    <x:col min="5" max="5" width="11.670000076293945" hidden="0" customWidth="1"/>
    <x:col min="6" max="6" width="10.5600004196167" hidden="0" customWidth="1"/>
    <x:col min="7" max="7" width="8.890000343322754" hidden="0" customWidth="1"/>
    <x:col min="8" max="8" width="11.109999656677246" hidden="0" customWidth="1"/>
    <x:col min="9" max="9" width="12.779999732971191" hidden="0" customWidth="1"/>
    <x:col min="10" max="10" width="10.5600004196167" hidden="0" customWidth="1"/>
    <x:col min="11" max="11" width="31.670000076293945" hidden="0" customWidth="1"/>
    <x:col min="12" max="12" width="9.779999732971191" hidden="0" customWidth="1"/>
    <x:col min="13" max="13" width="8" hidden="0" customWidth="1"/>
    <x:col min="14" max="14" width="12.220000267028809" hidden="0" customWidth="1"/>
    <x:col min="15" max="15" width="12.220000267028809" hidden="0" customWidth="1"/>
    <x:col min="16" max="16" width="10.5600004196167" hidden="0" customWidth="1"/>
    <x:col min="17" max="17" width="10.5600004196167" hidden="0" customWidth="1"/>
    <x:col min="18" max="18" width="11.109999656677246" hidden="0" customWidth="1"/>
  </x:cols>
  <x:sheetData>
    <x:row r="1" ht="30" customHeight="1">
      <x:c r="A1" s="4" t="str">
        <x:v>门店兼职人效周报（老板修正版）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62" t="str">
        <x:v>2026-07-06至2026-07-12 | 引流仅统计周六、周日及国家法定节假日，只比较人工成本与成交金额；当前汇总值需先确认已按目标日期过滤。禁止用单周数据直接淘汰人员。</x:v>
      </x:c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</x:row>
    <x:row r="3">
      <x:c r="A3" s="66" t="str">
        <x:v>门店数</x:v>
      </x:c>
      <x:c r="B3" s="66"/>
      <x:c r="C3" s="66" t="str">
        <x:v>引流低效门店</x:v>
      </x:c>
      <x:c r="D3" s="66"/>
      <x:c r="E3" s="66" t="str">
        <x:v>引流数据不完整</x:v>
      </x:c>
      <x:c r="F3" s="66"/>
      <x:c r="G3" s="66" t="str">
        <x:v>复位需调整门店</x:v>
      </x:c>
      <x:c r="H3" s="66"/>
      <x:c r="I3" s="66" t="str">
        <x:v>整体引流产出倍数</x:v>
      </x:c>
      <x:c r="J3" s="66"/>
      <x:c r="K3" s="66" t="str">
        <x:v>引流实际人工成本</x:v>
      </x:c>
      <x:c r="L3" s="66"/>
      <x:c r="M3" s="66" t="str">
        <x:v>整体实际波次/人/时</x:v>
      </x:c>
      <x:c r="N3" s="66"/>
      <x:c r="O3" s="66" t="str">
        <x:v>周末高峰复位成本</x:v>
      </x:c>
      <x:c r="P3" s="66"/>
      <x:c r="Q3" s="66" t="str">
        <x:v>数据ERROR/CHECK门店</x:v>
      </x:c>
      <x:c r="R3" s="66"/>
    </x:row>
    <x:row r="4">
      <x:c r="A4" s="81" t="n">
        <x:f>COUNTA('门店周数据录入'!B4:B22)</x:f>
        <x:v>19</x:v>
      </x:c>
      <x:c r="B4" s="82"/>
      <x:c r="C4" s="81" t="n">
        <x:f>COUNTIF('引流周汇总'!R4:R22,"引流低效")</x:f>
        <x:v>4</x:v>
      </x:c>
      <x:c r="D4" s="82"/>
      <x:c r="E4" s="81" t="n">
        <x:f>COUNTIF('引流周汇总'!Q4:Q22,"&lt;&gt;完整")</x:f>
        <x:v>19</x:v>
      </x:c>
      <x:c r="F4" s="82"/>
      <x:c r="G4" s="81" t="n">
        <x:f>COUNTIF('复位周汇总'!O4:O22,"&lt;&gt;配置合理")</x:f>
        <x:v>4</x:v>
      </x:c>
      <x:c r="H4" s="82"/>
      <x:c r="I4" s="85" t="n">
        <x:f>SUM('引流周汇总'!I4:I22)/SUM('引流周汇总'!H4:H22)</x:f>
        <x:v>14.862554992305602</x:v>
      </x:c>
      <x:c r="J4" s="86"/>
      <x:c r="K4" s="89" t="n">
        <x:f>SUM('引流周汇总'!H4:H22)</x:f>
        <x:v>22094</x:v>
      </x:c>
      <x:c r="L4" s="90"/>
      <x:c r="M4" s="93" t="n">
        <x:f>SUM('复位周汇总'!F4:F22)/SUM('复位周汇总'!E4:E22)/('规则参数'!B4*'规则参数'!B5)</x:f>
        <x:v>2.4849537037037037</x:v>
      </x:c>
      <x:c r="N4" s="94"/>
      <x:c r="O4" s="89" t="n">
        <x:f>SUM('复位周汇总'!G4:G22)</x:f>
        <x:v>25609</x:v>
      </x:c>
      <x:c r="P4" s="90"/>
      <x:c r="Q4" s="81" t="n">
        <x:f>COUNTIF('数据校验'!N4:N22,"&lt;&gt;PASS")</x:f>
        <x:v>19</x:v>
      </x:c>
      <x:c r="R4" s="82"/>
    </x:row>
    <x:row r="5">
      <x:c r="A5" s="83"/>
      <x:c r="B5" s="84"/>
      <x:c r="C5" s="83"/>
      <x:c r="D5" s="84"/>
      <x:c r="E5" s="83"/>
      <x:c r="F5" s="84"/>
      <x:c r="G5" s="83"/>
      <x:c r="H5" s="84"/>
      <x:c r="I5" s="87"/>
      <x:c r="J5" s="88"/>
      <x:c r="K5" s="91"/>
      <x:c r="L5" s="92"/>
      <x:c r="M5" s="95"/>
      <x:c r="N5" s="96"/>
      <x:c r="O5" s="91"/>
      <x:c r="P5" s="92"/>
      <x:c r="Q5" s="83"/>
      <x:c r="R5" s="84"/>
    </x:row>
    <x:row r="7" ht="25.5" customHeight="1">
      <x:c r="A7" s="33" t="str">
        <x:v>老板关注优先级：关键数据错误/复位归属异常 → 必须补数据；引流低效或高峰偏紧 → 必须处理；一般缺项、结构风险和偏松 → 观察调整；其余正常跟进。</x:v>
      </x:c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</x:row>
    <x:row r="9" ht="34.5" customHeight="1">
      <x:c r="A9" s="16" t="str">
        <x:v>门店</x:v>
      </x:c>
      <x:c r="B9" s="17" t="str">
        <x:v>总营收</x:v>
      </x:c>
      <x:c r="C9" s="17" t="str">
        <x:v>引流人数</x:v>
      </x:c>
      <x:c r="D9" s="17" t="str">
        <x:v>引流工时</x:v>
      </x:c>
      <x:c r="E9" s="17" t="str">
        <x:v>引流实际人工成本</x:v>
      </x:c>
      <x:c r="F9" s="17" t="str">
        <x:v>引流成交金额</x:v>
      </x:c>
      <x:c r="G9" s="17" t="str">
        <x:v>引流产出倍数</x:v>
      </x:c>
      <x:c r="H9" s="17" t="str">
        <x:v>每小时成交</x:v>
      </x:c>
      <x:c r="I9" s="17" t="str">
        <x:v>引流数据状态</x:v>
      </x:c>
      <x:c r="J9" s="17" t="str">
        <x:v>引流判断</x:v>
      </x:c>
      <x:c r="K9" s="17" t="str">
        <x:v>引流下周动作</x:v>
      </x:c>
      <x:c r="L9" s="17" t="str">
        <x:v>复位人数</x:v>
      </x:c>
      <x:c r="M9" s="17" t="str">
        <x:v>主题数</x:v>
      </x:c>
      <x:c r="N9" s="17" t="str">
        <x:v>周末高峰波次</x:v>
      </x:c>
      <x:c r="O9" s="17" t="str">
        <x:v>实际波次/人/时</x:v>
      </x:c>
      <x:c r="P9" s="17" t="str">
        <x:v>高峰利用率</x:v>
      </x:c>
      <x:c r="Q9" s="17" t="str">
        <x:v>复位判断</x:v>
      </x:c>
      <x:c r="R9" s="18" t="str">
        <x:v>老板关注</x:v>
      </x:c>
    </x:row>
    <x:row r="10" ht="37.5" customHeight="1">
      <x:c r="A10" s="23" t="str">
        <x:f>'引流周汇总'!B4</x:f>
        <x:v>中原万达</x:v>
      </x:c>
      <x:c r="B10" s="53" t="n">
        <x:f>'引流周汇总'!D4</x:f>
        <x:v>24953</x:v>
      </x:c>
      <x:c r="C10" s="53" t="n">
        <x:f>'引流周汇总'!E4</x:f>
        <x:v>7</x:v>
      </x:c>
      <x:c r="D10" s="53" t="n">
        <x:f>'引流周汇总'!F4</x:f>
        <x:v>223.4</x:v>
      </x:c>
      <x:c r="E10" s="53" t="n">
        <x:f>'引流周汇总'!H4</x:f>
        <x:v>2234</x:v>
      </x:c>
      <x:c r="F10" s="53" t="n">
        <x:f>'引流周汇总'!I4</x:f>
        <x:v>24832</x:v>
      </x:c>
      <x:c r="G10" s="56" t="n">
        <x:f>'引流周汇总'!J4</x:f>
        <x:v>11.115487914055505</x:v>
      </x:c>
      <x:c r="H10" s="53" t="n">
        <x:f>'引流周汇总'!K4</x:f>
        <x:v>111.15487914055505</x:v>
      </x:c>
      <x:c r="I10" s="23" t="str">
        <x:f>'引流周汇总'!Q4</x:f>
        <x:v>周期待确认</x:v>
      </x:c>
      <x:c r="J10" s="23" t="str">
        <x:f>'引流周汇总'!R4</x:f>
        <x:v>引流观察</x:v>
      </x:c>
      <x:c r="K10" s="38" t="str">
        <x:f>'引流周汇总'!T4</x:f>
        <x:v>调整点位与时段，下一周复盘。</x:v>
      </x:c>
      <x:c r="L10" s="23" t="n">
        <x:f>'复位周汇总'!E4</x:f>
        <x:v>3</x:v>
      </x:c>
      <x:c r="M10" s="23" t="n">
        <x:f>'复位周汇总'!D4</x:f>
        <x:v>13</x:v>
      </x:c>
      <x:c r="N10" s="23" t="n">
        <x:f>'复位周汇总'!F4</x:f>
        <x:v>89</x:v>
      </x:c>
      <x:c r="O10" s="97" t="n">
        <x:f>'复位周汇总'!K4</x:f>
        <x:v>2.4722222222222223</x:v>
      </x:c>
      <x:c r="P10" s="59" t="n">
        <x:f>'复位周汇总'!L4</x:f>
        <x:v>0.3803418803418803</x:v>
      </x:c>
      <x:c r="Q10" s="23" t="str">
        <x:f>'复位周汇总'!O4</x:f>
        <x:v>配置合理</x:v>
      </x:c>
      <x:c r="R10" s="23" t="str">
        <x:f>IF(OR(I10="数据异常",I10="人工数据缺失",I10="周期待确认",Q10="数据异常"),"必须补数据",IF(OR(J10="引流低效",Q10="高峰偏紧"),"必须处理",IF(OR(J10="引流观察",Q10="结构偏紧",Q10="复位偏松",I10&lt;&gt;"完整"),"观察调整","正常跟进")))</x:f>
        <x:v>必须补数据</x:v>
      </x:c>
    </x:row>
    <x:row r="11" ht="37.5" customHeight="1">
      <x:c r="A11" s="24" t="str">
        <x:f>'引流周汇总'!B5</x:f>
        <x:v>二七万象城</x:v>
      </x:c>
      <x:c r="B11" s="54" t="n">
        <x:f>'引流周汇总'!D5</x:f>
        <x:v>21827.18</x:v>
      </x:c>
      <x:c r="C11" s="54" t="n">
        <x:f>'引流周汇总'!E5</x:f>
        <x:v>8</x:v>
      </x:c>
      <x:c r="D11" s="54" t="n">
        <x:f>'引流周汇总'!F5</x:f>
        <x:v>80.5</x:v>
      </x:c>
      <x:c r="E11" s="54" t="n">
        <x:f>'引流周汇总'!H5</x:f>
        <x:v>805</x:v>
      </x:c>
      <x:c r="F11" s="54" t="n">
        <x:f>'引流周汇总'!I5</x:f>
        <x:v>7806.99</x:v>
      </x:c>
      <x:c r="G11" s="57" t="n">
        <x:f>'引流周汇总'!J5</x:f>
        <x:v>9.698124223602484</x:v>
      </x:c>
      <x:c r="H11" s="54" t="n">
        <x:f>'引流周汇总'!K5</x:f>
        <x:v>96.98124223602484</x:v>
      </x:c>
      <x:c r="I11" s="24" t="str">
        <x:f>'引流周汇总'!Q5</x:f>
        <x:v>周期待确认</x:v>
      </x:c>
      <x:c r="J11" s="24" t="str">
        <x:f>'引流周汇总'!R5</x:f>
        <x:v>引流低效</x:v>
      </x:c>
      <x:c r="K11" s="39" t="str">
        <x:f>'引流周汇总'!T5</x:f>
        <x:v>先减低效点位/时段工时，连续3周验证后再替换。</x:v>
      </x:c>
      <x:c r="L11" s="24" t="n">
        <x:f>'复位周汇总'!E5</x:f>
        <x:v>7</x:v>
      </x:c>
      <x:c r="M11" s="24" t="n">
        <x:f>'复位周汇总'!D5</x:f>
        <x:v>15</x:v>
      </x:c>
      <x:c r="N11" s="24" t="n">
        <x:f>'复位周汇总'!F5</x:f>
        <x:v>152</x:v>
      </x:c>
      <x:c r="O11" s="98" t="n">
        <x:f>'复位周汇总'!K5</x:f>
        <x:v>1.8095238095238095</x:v>
      </x:c>
      <x:c r="P11" s="60" t="n">
        <x:f>'复位周汇总'!L5</x:f>
        <x:v>0.562962962962963</x:v>
      </x:c>
      <x:c r="Q11" s="24" t="str">
        <x:f>'复位周汇总'!O5</x:f>
        <x:v>复位偏松</x:v>
      </x:c>
      <x:c r="R11" s="24" t="str">
        <x:f>IF(OR(I11="数据异常",I11="人工数据缺失",I11="周期待确认",Q11="数据异常"),"必须补数据",IF(OR(J11="引流低效",Q11="高峰偏紧"),"必须处理",IF(OR(J11="引流观察",Q11="结构偏紧",Q11="复位偏松",I11&lt;&gt;"完整"),"观察调整","正常跟进")))</x:f>
        <x:v>必须补数据</x:v>
      </x:c>
    </x:row>
    <x:row r="12" ht="37.5" customHeight="1">
      <x:c r="A12" s="24" t="str">
        <x:f>'引流周汇总'!B6</x:f>
        <x:v>信阳万达</x:v>
      </x:c>
      <x:c r="B12" s="54" t="n">
        <x:f>'引流周汇总'!D6</x:f>
        <x:v>9262.45</x:v>
      </x:c>
      <x:c r="C12" s="54" t="n">
        <x:f>'引流周汇总'!E6</x:f>
        <x:v>2</x:v>
      </x:c>
      <x:c r="D12" s="54" t="n">
        <x:f>'引流周汇总'!F6</x:f>
        <x:v>33.7</x:v>
      </x:c>
      <x:c r="E12" s="54" t="n">
        <x:f>'引流周汇总'!H6</x:f>
        <x:v>337</x:v>
      </x:c>
      <x:c r="F12" s="54" t="n">
        <x:f>'引流周汇总'!I6</x:f>
        <x:v>2389</x:v>
      </x:c>
      <x:c r="G12" s="57" t="n">
        <x:f>'引流周汇总'!J6</x:f>
        <x:v>7.089020771513353</x:v>
      </x:c>
      <x:c r="H12" s="54" t="n">
        <x:f>'引流周汇总'!K6</x:f>
        <x:v>70.89020771513353</x:v>
      </x:c>
      <x:c r="I12" s="24" t="str">
        <x:f>'引流周汇总'!Q6</x:f>
        <x:v>周期待确认</x:v>
      </x:c>
      <x:c r="J12" s="24" t="str">
        <x:f>'引流周汇总'!R6</x:f>
        <x:v>引流低效</x:v>
      </x:c>
      <x:c r="K12" s="39" t="str">
        <x:f>'引流周汇总'!T6</x:f>
        <x:v>先减低效点位/时段工时，连续3周验证后再替换。</x:v>
      </x:c>
      <x:c r="L12" s="24" t="n">
        <x:f>'复位周汇总'!E6</x:f>
        <x:v>2</x:v>
      </x:c>
      <x:c r="M12" s="24" t="n">
        <x:f>'复位周汇总'!D6</x:f>
        <x:v>9</x:v>
      </x:c>
      <x:c r="N12" s="24" t="n">
        <x:f>'复位周汇总'!F6</x:f>
        <x:v>67</x:v>
      </x:c>
      <x:c r="O12" s="98" t="n">
        <x:f>'复位周汇总'!K6</x:f>
        <x:v>2.7916666666666665</x:v>
      </x:c>
      <x:c r="P12" s="60" t="n">
        <x:f>'复位周汇总'!L6</x:f>
        <x:v>0.41358024691358025</x:v>
      </x:c>
      <x:c r="Q12" s="24" t="str">
        <x:f>'复位周汇总'!O6</x:f>
        <x:v>配置合理</x:v>
      </x:c>
      <x:c r="R12" s="24" t="str">
        <x:f>IF(OR(I12="数据异常",I12="人工数据缺失",I12="周期待确认",Q12="数据异常"),"必须补数据",IF(OR(J12="引流低效",Q12="高峰偏紧"),"必须处理",IF(OR(J12="引流观察",Q12="结构偏紧",Q12="复位偏松",I12&lt;&gt;"完整"),"观察调整","正常跟进")))</x:f>
        <x:v>必须补数据</x:v>
      </x:c>
    </x:row>
    <x:row r="13" ht="37.5" customHeight="1">
      <x:c r="A13" s="24" t="str">
        <x:f>'引流周汇总'!B7</x:f>
        <x:v>南阳万达</x:v>
      </x:c>
      <x:c r="B13" s="54" t="n">
        <x:f>'引流周汇总'!D7</x:f>
        <x:v>21391</x:v>
      </x:c>
      <x:c r="C13" s="54" t="n">
        <x:f>'引流周汇总'!E7</x:f>
        <x:v>5</x:v>
      </x:c>
      <x:c r="D13" s="54" t="n">
        <x:f>'引流周汇总'!F7</x:f>
        <x:v>116.4</x:v>
      </x:c>
      <x:c r="E13" s="54" t="n">
        <x:f>'引流周汇总'!H7</x:f>
        <x:v>1164</x:v>
      </x:c>
      <x:c r="F13" s="54" t="n">
        <x:f>'引流周汇总'!I7</x:f>
        <x:v>15615</x:v>
      </x:c>
      <x:c r="G13" s="57" t="n">
        <x:f>'引流周汇总'!J7</x:f>
        <x:v>13.414948453608247</x:v>
      </x:c>
      <x:c r="H13" s="54" t="n">
        <x:f>'引流周汇总'!K7</x:f>
        <x:v>134.14948453608247</x:v>
      </x:c>
      <x:c r="I13" s="24" t="str">
        <x:f>'引流周汇总'!Q7</x:f>
        <x:v>周期待确认</x:v>
      </x:c>
      <x:c r="J13" s="24" t="str">
        <x:f>'引流周汇总'!R7</x:f>
        <x:v>引流优秀</x:v>
      </x:c>
      <x:c r="K13" s="39" t="str">
        <x:f>'引流周汇总'!T7</x:f>
        <x:v>保持或增加有效点位排班，并培养复制。</x:v>
      </x:c>
      <x:c r="L13" s="24" t="n">
        <x:f>'复位周汇总'!E7</x:f>
        <x:v>4</x:v>
      </x:c>
      <x:c r="M13" s="24" t="n">
        <x:f>'复位周汇总'!D7</x:f>
        <x:v>18</x:v>
      </x:c>
      <x:c r="N13" s="24" t="n">
        <x:f>'复位周汇总'!F7</x:f>
        <x:v>132</x:v>
      </x:c>
      <x:c r="O13" s="98" t="n">
        <x:f>'复位周汇总'!K7</x:f>
        <x:v>2.75</x:v>
      </x:c>
      <x:c r="P13" s="60" t="n">
        <x:f>'复位周汇总'!L7</x:f>
        <x:v>0.4074074074074074</x:v>
      </x:c>
      <x:c r="Q13" s="24" t="str">
        <x:f>'复位周汇总'!O7</x:f>
        <x:v>配置合理</x:v>
      </x:c>
      <x:c r="R13" s="24" t="str">
        <x:f>IF(OR(I13="数据异常",I13="人工数据缺失",I13="周期待确认",Q13="数据异常"),"必须补数据",IF(OR(J13="引流低效",Q13="高峰偏紧"),"必须处理",IF(OR(J13="引流观察",Q13="结构偏紧",Q13="复位偏松",I13&lt;&gt;"完整"),"观察调整","正常跟进")))</x:f>
        <x:v>必须补数据</x:v>
      </x:c>
    </x:row>
    <x:row r="14" ht="37.5" customHeight="1">
      <x:c r="A14" s="24" t="str">
        <x:f>'引流周汇总'!B8</x:f>
        <x:v>南阳吾悦</x:v>
      </x:c>
      <x:c r="B14" s="54" t="n">
        <x:f>'引流周汇总'!D8</x:f>
        <x:v>25424</x:v>
      </x:c>
      <x:c r="C14" s="54" t="n">
        <x:f>'引流周汇总'!E8</x:f>
        <x:v>5</x:v>
      </x:c>
      <x:c r="D14" s="54" t="n">
        <x:f>'引流周汇总'!F8</x:f>
        <x:v>48.9</x:v>
      </x:c>
      <x:c r="E14" s="54" t="n">
        <x:f>'引流周汇总'!H8</x:f>
        <x:v>489</x:v>
      </x:c>
      <x:c r="F14" s="54" t="n">
        <x:f>'引流周汇总'!I8</x:f>
        <x:v>9656</x:v>
      </x:c>
      <x:c r="G14" s="57" t="n">
        <x:f>'引流周汇总'!J8</x:f>
        <x:v>19.74642126789366</x:v>
      </x:c>
      <x:c r="H14" s="54" t="n">
        <x:f>'引流周汇总'!K8</x:f>
        <x:v>197.4642126789366</x:v>
      </x:c>
      <x:c r="I14" s="24" t="str">
        <x:f>'引流周汇总'!Q8</x:f>
        <x:v>周期待确认</x:v>
      </x:c>
      <x:c r="J14" s="24" t="str">
        <x:f>'引流周汇总'!R8</x:f>
        <x:v>引流优秀</x:v>
      </x:c>
      <x:c r="K14" s="39" t="str">
        <x:f>'引流周汇总'!T8</x:f>
        <x:v>保持或增加有效点位排班，并培养复制。</x:v>
      </x:c>
      <x:c r="L14" s="24" t="n">
        <x:f>'复位周汇总'!E8</x:f>
        <x:v>4</x:v>
      </x:c>
      <x:c r="M14" s="24" t="n">
        <x:f>'复位周汇总'!D8</x:f>
        <x:v>14</x:v>
      </x:c>
      <x:c r="N14" s="24" t="n">
        <x:f>'复位周汇总'!F8</x:f>
        <x:v>120</x:v>
      </x:c>
      <x:c r="O14" s="98" t="n">
        <x:f>'复位周汇总'!K8</x:f>
        <x:v>2.5</x:v>
      </x:c>
      <x:c r="P14" s="60" t="n">
        <x:f>'复位周汇总'!L8</x:f>
        <x:v>0.47619047619047616</x:v>
      </x:c>
      <x:c r="Q14" s="24" t="str">
        <x:f>'复位周汇总'!O8</x:f>
        <x:v>配置合理</x:v>
      </x:c>
      <x:c r="R14" s="24" t="str">
        <x:f>IF(OR(I14="数据异常",I14="人工数据缺失",I14="周期待确认",Q14="数据异常"),"必须补数据",IF(OR(J14="引流低效",Q14="高峰偏紧"),"必须处理",IF(OR(J14="引流观察",Q14="结构偏紧",Q14="复位偏松",I14&lt;&gt;"完整"),"观察调整","正常跟进")))</x:f>
        <x:v>必须补数据</x:v>
      </x:c>
    </x:row>
    <x:row r="15" ht="37.5" customHeight="1">
      <x:c r="A15" s="24" t="str">
        <x:f>'引流周汇总'!B9</x:f>
        <x:v>周口万达</x:v>
      </x:c>
      <x:c r="B15" s="54" t="n">
        <x:f>'引流周汇总'!D9</x:f>
        <x:v>12342.4</x:v>
      </x:c>
      <x:c r="C15" s="54" t="n">
        <x:f>'引流周汇总'!E9</x:f>
        <x:v>4</x:v>
      </x:c>
      <x:c r="D15" s="54" t="n">
        <x:f>'引流周汇总'!F9</x:f>
        <x:v>96.1</x:v>
      </x:c>
      <x:c r="E15" s="54" t="n">
        <x:f>'引流周汇总'!H9</x:f>
        <x:v>961</x:v>
      </x:c>
      <x:c r="F15" s="54" t="n">
        <x:f>'引流周汇总'!I9</x:f>
        <x:v>8151.4</x:v>
      </x:c>
      <x:c r="G15" s="57" t="n">
        <x:f>'引流周汇总'!J9</x:f>
        <x:v>8.482206035379813</x:v>
      </x:c>
      <x:c r="H15" s="54" t="n">
        <x:f>'引流周汇总'!K9</x:f>
        <x:v>84.82206035379812</x:v>
      </x:c>
      <x:c r="I15" s="24" t="str">
        <x:f>'引流周汇总'!Q9</x:f>
        <x:v>周期待确认</x:v>
      </x:c>
      <x:c r="J15" s="24" t="str">
        <x:f>'引流周汇总'!R9</x:f>
        <x:v>引流低效</x:v>
      </x:c>
      <x:c r="K15" s="39" t="str">
        <x:f>'引流周汇总'!T9</x:f>
        <x:v>先减低效点位/时段工时，连续3周验证后再替换。</x:v>
      </x:c>
      <x:c r="L15" s="24" t="n">
        <x:f>'复位周汇总'!E9</x:f>
        <x:v>1</x:v>
      </x:c>
      <x:c r="M15" s="24" t="n">
        <x:f>'复位周汇总'!D9</x:f>
        <x:v>9</x:v>
      </x:c>
      <x:c r="N15" s="24" t="n">
        <x:f>'复位周汇总'!F9</x:f>
        <x:v>97</x:v>
      </x:c>
      <x:c r="O15" s="98" t="n">
        <x:f>'复位周汇总'!K9</x:f>
        <x:v>8.083333333333334</x:v>
      </x:c>
      <x:c r="P15" s="60" t="n">
        <x:f>'复位周汇总'!L9</x:f>
        <x:v>0.5987654320987654</x:v>
      </x:c>
      <x:c r="Q15" s="24" t="str">
        <x:f>'复位周汇总'!O9</x:f>
        <x:v>高峰偏紧</x:v>
      </x:c>
      <x:c r="R15" s="24" t="str">
        <x:f>IF(OR(I15="数据异常",I15="人工数据缺失",I15="周期待确认",Q15="数据异常"),"必须补数据",IF(OR(J15="引流低效",Q15="高峰偏紧"),"必须处理",IF(OR(J15="引流观察",Q15="结构偏紧",Q15="复位偏松",I15&lt;&gt;"完整"),"观察调整","正常跟进")))</x:f>
        <x:v>必须补数据</x:v>
      </x:c>
    </x:row>
    <x:row r="16" ht="37.5" customHeight="1">
      <x:c r="A16" s="24" t="str">
        <x:f>'引流周汇总'!B10</x:f>
        <x:v>商丘万达</x:v>
      </x:c>
      <x:c r="B16" s="54" t="n">
        <x:f>'引流周汇总'!D10</x:f>
        <x:v>16572.05</x:v>
      </x:c>
      <x:c r="C16" s="54" t="n">
        <x:f>'引流周汇总'!E10</x:f>
        <x:v>5</x:v>
      </x:c>
      <x:c r="D16" s="54" t="n">
        <x:f>'引流周汇总'!F10</x:f>
        <x:v>190.4</x:v>
      </x:c>
      <x:c r="E16" s="54" t="n">
        <x:f>'引流周汇总'!H10</x:f>
        <x:v>1904</x:v>
      </x:c>
      <x:c r="F16" s="54" t="n">
        <x:f>'引流周汇总'!I10</x:f>
        <x:v>23128.45</x:v>
      </x:c>
      <x:c r="G16" s="57" t="n">
        <x:f>'引流周汇总'!J10</x:f>
        <x:v>12.147295168067227</x:v>
      </x:c>
      <x:c r="H16" s="54" t="n">
        <x:f>'引流周汇总'!K10</x:f>
        <x:v>121.47295168067227</x:v>
      </x:c>
      <x:c r="I16" s="24" t="str">
        <x:f>'引流周汇总'!Q10</x:f>
        <x:v>周期待确认</x:v>
      </x:c>
      <x:c r="J16" s="24" t="str">
        <x:f>'引流周汇总'!R10</x:f>
        <x:v>引流观察</x:v>
      </x:c>
      <x:c r="K16" s="39" t="str">
        <x:f>'引流周汇总'!T10</x:f>
        <x:v>调整点位与时段，下一周复盘。</x:v>
      </x:c>
      <x:c r="L16" s="24" t="n">
        <x:f>'复位周汇总'!E10</x:f>
        <x:v>3</x:v>
      </x:c>
      <x:c r="M16" s="24" t="n">
        <x:f>'复位周汇总'!D10</x:f>
        <x:v>13</x:v>
      </x:c>
      <x:c r="N16" s="24" t="n">
        <x:f>'复位周汇总'!F10</x:f>
        <x:v>85</x:v>
      </x:c>
      <x:c r="O16" s="98" t="n">
        <x:f>'复位周汇总'!K10</x:f>
        <x:v>2.361111111111111</x:v>
      </x:c>
      <x:c r="P16" s="60" t="n">
        <x:f>'复位周汇总'!L10</x:f>
        <x:v>0.36324786324786323</x:v>
      </x:c>
      <x:c r="Q16" s="24" t="str">
        <x:f>'复位周汇总'!O10</x:f>
        <x:v>配置合理</x:v>
      </x:c>
      <x:c r="R16" s="24" t="str">
        <x:f>IF(OR(I16="数据异常",I16="人工数据缺失",I16="周期待确认",Q16="数据异常"),"必须补数据",IF(OR(J16="引流低效",Q16="高峰偏紧"),"必须处理",IF(OR(J16="引流观察",Q16="结构偏紧",Q16="复位偏松",I16&lt;&gt;"完整"),"观察调整","正常跟进")))</x:f>
        <x:v>必须补数据</x:v>
      </x:c>
    </x:row>
    <x:row r="17" ht="37.5" customHeight="1">
      <x:c r="A17" s="24" t="str">
        <x:f>'引流周汇总'!B11</x:f>
        <x:v>安阳万达</x:v>
      </x:c>
      <x:c r="B17" s="54" t="n">
        <x:f>'引流周汇总'!D11</x:f>
        <x:v>6444</x:v>
      </x:c>
      <x:c r="C17" s="54" t="n">
        <x:f>'引流周汇总'!E11</x:f>
        <x:v>5</x:v>
      </x:c>
      <x:c r="D17" s="54" t="n">
        <x:f>'引流周汇总'!F11</x:f>
        <x:v>50.9</x:v>
      </x:c>
      <x:c r="E17" s="54" t="n">
        <x:f>'引流周汇总'!H11</x:f>
        <x:v>509</x:v>
      </x:c>
      <x:c r="F17" s="54" t="n">
        <x:f>'引流周汇总'!I11</x:f>
        <x:v>7375</x:v>
      </x:c>
      <x:c r="G17" s="57" t="n">
        <x:f>'引流周汇总'!J11</x:f>
        <x:v>14.489194499017682</x:v>
      </x:c>
      <x:c r="H17" s="54" t="n">
        <x:f>'引流周汇总'!K11</x:f>
        <x:v>144.89194499017682</x:v>
      </x:c>
      <x:c r="I17" s="24" t="str">
        <x:f>'引流周汇总'!Q11</x:f>
        <x:v>周期待确认</x:v>
      </x:c>
      <x:c r="J17" s="24" t="str">
        <x:f>'引流周汇总'!R11</x:f>
        <x:v>引流优秀</x:v>
      </x:c>
      <x:c r="K17" s="39" t="str">
        <x:f>'引流周汇总'!T11</x:f>
        <x:v>保持或增加有效点位排班，并培养复制。</x:v>
      </x:c>
      <x:c r="L17" s="24" t="n">
        <x:f>'复位周汇总'!E11</x:f>
        <x:v>4</x:v>
      </x:c>
      <x:c r="M17" s="24" t="n">
        <x:f>'复位周汇总'!D11</x:f>
        <x:v>10</x:v>
      </x:c>
      <x:c r="N17" s="24" t="n">
        <x:f>'复位周汇总'!F11</x:f>
        <x:v>38</x:v>
      </x:c>
      <x:c r="O17" s="98" t="n">
        <x:f>'复位周汇总'!K11</x:f>
        <x:v>0.7916666666666666</x:v>
      </x:c>
      <x:c r="P17" s="60" t="n">
        <x:f>'复位周汇总'!L11</x:f>
        <x:v>0.2111111111111111</x:v>
      </x:c>
      <x:c r="Q17" s="24" t="str">
        <x:f>'复位周汇总'!O11</x:f>
        <x:v>配置合理</x:v>
      </x:c>
      <x:c r="R17" s="24" t="str">
        <x:f>IF(OR(I17="数据异常",I17="人工数据缺失",I17="周期待确认",Q17="数据异常"),"必须补数据",IF(OR(J17="引流低效",Q17="高峰偏紧"),"必须处理",IF(OR(J17="引流观察",Q17="结构偏紧",Q17="复位偏松",I17&lt;&gt;"完整"),"观察调整","正常跟进")))</x:f>
        <x:v>必须补数据</x:v>
      </x:c>
    </x:row>
    <x:row r="18" ht="37.5" customHeight="1">
      <x:c r="A18" s="24" t="str">
        <x:f>'引流周汇总'!B12</x:f>
        <x:v>开封万达</x:v>
      </x:c>
      <x:c r="B18" s="54" t="n">
        <x:f>'引流周汇总'!D12</x:f>
        <x:v>22735</x:v>
      </x:c>
      <x:c r="C18" s="54" t="n">
        <x:f>'引流周汇总'!E12</x:f>
        <x:v>7</x:v>
      </x:c>
      <x:c r="D18" s="54" t="n">
        <x:f>'引流周汇总'!F12</x:f>
        <x:v>90.3</x:v>
      </x:c>
      <x:c r="E18" s="54" t="n">
        <x:f>'引流周汇总'!H12</x:f>
        <x:v>903</x:v>
      </x:c>
      <x:c r="F18" s="54" t="n">
        <x:f>'引流周汇总'!I12</x:f>
        <x:v>21109</x:v>
      </x:c>
      <x:c r="G18" s="57" t="n">
        <x:f>'引流周汇总'!J12</x:f>
        <x:v>23.376522702104097</x:v>
      </x:c>
      <x:c r="H18" s="54" t="n">
        <x:f>'引流周汇总'!K12</x:f>
        <x:v>233.76522702104097</x:v>
      </x:c>
      <x:c r="I18" s="24" t="str">
        <x:f>'引流周汇总'!Q12</x:f>
        <x:v>周期待确认</x:v>
      </x:c>
      <x:c r="J18" s="24" t="str">
        <x:f>'引流周汇总'!R12</x:f>
        <x:v>引流优秀</x:v>
      </x:c>
      <x:c r="K18" s="39" t="str">
        <x:f>'引流周汇总'!T12</x:f>
        <x:v>保持或增加有效点位排班，并培养复制。</x:v>
      </x:c>
      <x:c r="L18" s="24" t="n">
        <x:f>'复位周汇总'!E12</x:f>
        <x:v>3</x:v>
      </x:c>
      <x:c r="M18" s="24" t="n">
        <x:f>'复位周汇总'!D12</x:f>
        <x:v>13</x:v>
      </x:c>
      <x:c r="N18" s="24" t="n">
        <x:f>'复位周汇总'!F12</x:f>
        <x:v>106</x:v>
      </x:c>
      <x:c r="O18" s="98" t="n">
        <x:f>'复位周汇总'!K12</x:f>
        <x:v>2.9444444444444446</x:v>
      </x:c>
      <x:c r="P18" s="60" t="n">
        <x:f>'复位周汇总'!L12</x:f>
        <x:v>0.452991452991453</x:v>
      </x:c>
      <x:c r="Q18" s="24" t="str">
        <x:f>'复位周汇总'!O12</x:f>
        <x:v>配置合理</x:v>
      </x:c>
      <x:c r="R18" s="24" t="str">
        <x:f>IF(OR(I18="数据异常",I18="人工数据缺失",I18="周期待确认",Q18="数据异常"),"必须补数据",IF(OR(J18="引流低效",Q18="高峰偏紧"),"必须处理",IF(OR(J18="引流观察",Q18="结构偏紧",Q18="复位偏松",I18&lt;&gt;"完整"),"观察调整","正常跟进")))</x:f>
        <x:v>必须补数据</x:v>
      </x:c>
    </x:row>
    <x:row r="19" ht="37.5" customHeight="1">
      <x:c r="A19" s="24" t="str">
        <x:f>'引流周汇总'!B13</x:f>
        <x:v>惠济万达</x:v>
      </x:c>
      <x:c r="B19" s="54" t="n">
        <x:f>'引流周汇总'!D13</x:f>
        <x:v>19046</x:v>
      </x:c>
      <x:c r="C19" s="54" t="n">
        <x:f>'引流周汇总'!E13</x:f>
        <x:v>6</x:v>
      </x:c>
      <x:c r="D19" s="54" t="n">
        <x:f>'引流周汇总'!F13</x:f>
        <x:v>44.6</x:v>
      </x:c>
      <x:c r="E19" s="54" t="n">
        <x:f>'引流周汇总'!H13</x:f>
        <x:v>446</x:v>
      </x:c>
      <x:c r="F19" s="54" t="n">
        <x:f>'引流周汇总'!I13</x:f>
        <x:v>10582</x:v>
      </x:c>
      <x:c r="G19" s="57" t="n">
        <x:f>'引流周汇总'!J13</x:f>
        <x:v>23.72645739910314</x:v>
      </x:c>
      <x:c r="H19" s="54" t="n">
        <x:f>'引流周汇总'!K13</x:f>
        <x:v>237.26457399103137</x:v>
      </x:c>
      <x:c r="I19" s="24" t="str">
        <x:f>'引流周汇总'!Q13</x:f>
        <x:v>周期待确认</x:v>
      </x:c>
      <x:c r="J19" s="24" t="str">
        <x:f>'引流周汇总'!R13</x:f>
        <x:v>引流优秀</x:v>
      </x:c>
      <x:c r="K19" s="39" t="str">
        <x:f>'引流周汇总'!T13</x:f>
        <x:v>保持或增加有效点位排班，并培养复制。</x:v>
      </x:c>
      <x:c r="L19" s="24" t="n">
        <x:f>'复位周汇总'!E13</x:f>
        <x:v>4</x:v>
      </x:c>
      <x:c r="M19" s="24" t="n">
        <x:f>'复位周汇总'!D13</x:f>
        <x:v>10</x:v>
      </x:c>
      <x:c r="N19" s="24" t="n">
        <x:f>'复位周汇总'!F13</x:f>
        <x:v>97</x:v>
      </x:c>
      <x:c r="O19" s="98" t="n">
        <x:f>'复位周汇总'!K13</x:f>
        <x:v>2.0208333333333335</x:v>
      </x:c>
      <x:c r="P19" s="60" t="n">
        <x:f>'复位周汇总'!L13</x:f>
        <x:v>0.5388888888888889</x:v>
      </x:c>
      <x:c r="Q19" s="24" t="str">
        <x:f>'复位周汇总'!O13</x:f>
        <x:v>配置合理</x:v>
      </x:c>
      <x:c r="R19" s="24" t="str">
        <x:f>IF(OR(I19="数据异常",I19="人工数据缺失",I19="周期待确认",Q19="数据异常"),"必须补数据",IF(OR(J19="引流低效",Q19="高峰偏紧"),"必须处理",IF(OR(J19="引流观察",Q19="结构偏紧",Q19="复位偏松",I19&lt;&gt;"完整"),"观察调整","正常跟进")))</x:f>
        <x:v>必须补数据</x:v>
      </x:c>
    </x:row>
    <x:row r="20" ht="37.5" customHeight="1">
      <x:c r="A20" s="24" t="str">
        <x:f>'引流周汇总'!B14</x:f>
        <x:v>新乡万达</x:v>
      </x:c>
      <x:c r="B20" s="54" t="n">
        <x:f>'引流周汇总'!D14</x:f>
        <x:v>14678.2</x:v>
      </x:c>
      <x:c r="C20" s="54" t="n">
        <x:f>'引流周汇总'!E14</x:f>
        <x:v>8</x:v>
      </x:c>
      <x:c r="D20" s="54" t="n">
        <x:f>'引流周汇总'!F14</x:f>
        <x:v>169.9</x:v>
      </x:c>
      <x:c r="E20" s="54" t="n">
        <x:f>'引流周汇总'!H14</x:f>
        <x:v>1699</x:v>
      </x:c>
      <x:c r="F20" s="54" t="n">
        <x:f>'引流周汇总'!I14</x:f>
        <x:v>22490.2</x:v>
      </x:c>
      <x:c r="G20" s="57" t="n">
        <x:f>'引流周汇总'!J14</x:f>
        <x:v>13.237316068275456</x:v>
      </x:c>
      <x:c r="H20" s="54" t="n">
        <x:f>'引流周汇总'!K14</x:f>
        <x:v>132.37316068275456</x:v>
      </x:c>
      <x:c r="I20" s="24" t="str">
        <x:f>'引流周汇总'!Q14</x:f>
        <x:v>周期待确认</x:v>
      </x:c>
      <x:c r="J20" s="24" t="str">
        <x:f>'引流周汇总'!R14</x:f>
        <x:v>引流观察</x:v>
      </x:c>
      <x:c r="K20" s="39" t="str">
        <x:f>'引流周汇总'!T14</x:f>
        <x:v>调整点位与时段，下一周复盘。</x:v>
      </x:c>
      <x:c r="L20" s="24" t="n">
        <x:f>'复位周汇总'!E14</x:f>
        <x:v>5</x:v>
      </x:c>
      <x:c r="M20" s="24" t="n">
        <x:f>'复位周汇总'!D14</x:f>
        <x:v>13</x:v>
      </x:c>
      <x:c r="N20" s="24" t="n">
        <x:f>'复位周汇总'!F14</x:f>
        <x:v>124</x:v>
      </x:c>
      <x:c r="O20" s="98" t="n">
        <x:f>'复位周汇总'!K14</x:f>
        <x:v>2.066666666666667</x:v>
      </x:c>
      <x:c r="P20" s="60" t="n">
        <x:f>'复位周汇总'!L14</x:f>
        <x:v>0.5299145299145299</x:v>
      </x:c>
      <x:c r="Q20" s="24" t="str">
        <x:f>'复位周汇总'!O14</x:f>
        <x:v>配置合理</x:v>
      </x:c>
      <x:c r="R20" s="24" t="str">
        <x:f>IF(OR(I20="数据异常",I20="人工数据缺失",I20="周期待确认",Q20="数据异常"),"必须补数据",IF(OR(J20="引流低效",Q20="高峰偏紧"),"必须处理",IF(OR(J20="引流观察",Q20="结构偏紧",Q20="复位偏松",I20&lt;&gt;"完整"),"观察调整","正常跟进")))</x:f>
        <x:v>必须补数据</x:v>
      </x:c>
    </x:row>
    <x:row r="21" ht="37.5" customHeight="1">
      <x:c r="A21" s="24" t="str">
        <x:f>'引流周汇总'!B15</x:f>
        <x:v>武汉荟聚</x:v>
      </x:c>
      <x:c r="B21" s="54" t="n">
        <x:f>'引流周汇总'!D15</x:f>
        <x:v>37327</x:v>
      </x:c>
      <x:c r="C21" s="54" t="n">
        <x:f>'引流周汇总'!E15</x:f>
        <x:v>14</x:v>
      </x:c>
      <x:c r="D21" s="54" t="n">
        <x:f>'引流周汇总'!F15</x:f>
        <x:v>225.6</x:v>
      </x:c>
      <x:c r="E21" s="54" t="n">
        <x:f>'引流周汇总'!H15</x:f>
        <x:v>2256</x:v>
      </x:c>
      <x:c r="F21" s="54" t="n">
        <x:f>'引流周汇总'!I15</x:f>
        <x:v>55821</x:v>
      </x:c>
      <x:c r="G21" s="57" t="n">
        <x:f>'引流周汇总'!J15</x:f>
        <x:v>24.743351063829788</x:v>
      </x:c>
      <x:c r="H21" s="54" t="n">
        <x:f>'引流周汇总'!K15</x:f>
        <x:v>247.4335106382979</x:v>
      </x:c>
      <x:c r="I21" s="24" t="str">
        <x:f>'引流周汇总'!Q15</x:f>
        <x:v>周期待确认</x:v>
      </x:c>
      <x:c r="J21" s="24" t="str">
        <x:f>'引流周汇总'!R15</x:f>
        <x:v>引流优秀</x:v>
      </x:c>
      <x:c r="K21" s="39" t="str">
        <x:f>'引流周汇总'!T15</x:f>
        <x:v>保持或增加有效点位排班，并培养复制。</x:v>
      </x:c>
      <x:c r="L21" s="24" t="n">
        <x:f>'复位周汇总'!E15</x:f>
        <x:v>4</x:v>
      </x:c>
      <x:c r="M21" s="24" t="n">
        <x:f>'复位周汇总'!D15</x:f>
        <x:v>10</x:v>
      </x:c>
      <x:c r="N21" s="24" t="n">
        <x:f>'复位周汇总'!F15</x:f>
        <x:v>132</x:v>
      </x:c>
      <x:c r="O21" s="98" t="n">
        <x:f>'复位周汇总'!K15</x:f>
        <x:v>2.75</x:v>
      </x:c>
      <x:c r="P21" s="60" t="n">
        <x:f>'复位周汇总'!L15</x:f>
        <x:v>0.7333333333333333</x:v>
      </x:c>
      <x:c r="Q21" s="24" t="str">
        <x:f>'复位周汇总'!O15</x:f>
        <x:v>配置合理</x:v>
      </x:c>
      <x:c r="R21" s="24" t="str">
        <x:f>IF(OR(I21="数据异常",I21="人工数据缺失",I21="周期待确认",Q21="数据异常"),"必须补数据",IF(OR(J21="引流低效",Q21="高峰偏紧"),"必须处理",IF(OR(J21="引流观察",Q21="结构偏紧",Q21="复位偏松",I21&lt;&gt;"完整"),"观察调整","正常跟进")))</x:f>
        <x:v>必须补数据</x:v>
      </x:c>
    </x:row>
    <x:row r="22" ht="37.5" customHeight="1">
      <x:c r="A22" s="24" t="str">
        <x:f>'引流周汇总'!B16</x:f>
        <x:v>洛阳中州</x:v>
      </x:c>
      <x:c r="B22" s="54" t="n">
        <x:f>'引流周汇总'!D16</x:f>
        <x:v>57467</x:v>
      </x:c>
      <x:c r="C22" s="54" t="n">
        <x:f>'引流周汇总'!E16</x:f>
        <x:v>5</x:v>
      </x:c>
      <x:c r="D22" s="54" t="n">
        <x:f>'引流周汇总'!F16</x:f>
        <x:v>150</x:v>
      </x:c>
      <x:c r="E22" s="54" t="n">
        <x:f>'引流周汇总'!H16</x:f>
        <x:v>1500</x:v>
      </x:c>
      <x:c r="F22" s="54" t="n">
        <x:f>'引流周汇总'!I16</x:f>
        <x:v>20406</x:v>
      </x:c>
      <x:c r="G22" s="57" t="n">
        <x:f>'引流周汇总'!J16</x:f>
        <x:v>13.604</x:v>
      </x:c>
      <x:c r="H22" s="54" t="n">
        <x:f>'引流周汇总'!K16</x:f>
        <x:v>136.04</x:v>
      </x:c>
      <x:c r="I22" s="24" t="str">
        <x:f>'引流周汇总'!Q16</x:f>
        <x:v>周期待确认</x:v>
      </x:c>
      <x:c r="J22" s="24" t="str">
        <x:f>'引流周汇总'!R16</x:f>
        <x:v>引流优秀</x:v>
      </x:c>
      <x:c r="K22" s="39" t="str">
        <x:f>'引流周汇总'!T16</x:f>
        <x:v>保持或增加有效点位排班，并培养复制。</x:v>
      </x:c>
      <x:c r="L22" s="24" t="n">
        <x:f>'复位周汇总'!E16</x:f>
        <x:v>7</x:v>
      </x:c>
      <x:c r="M22" s="24" t="n">
        <x:f>'复位周汇总'!D16</x:f>
        <x:v>10</x:v>
      </x:c>
      <x:c r="N22" s="24" t="n">
        <x:f>'复位周汇总'!F16</x:f>
        <x:v>180</x:v>
      </x:c>
      <x:c r="O22" s="98" t="n">
        <x:f>'复位周汇总'!K16</x:f>
        <x:v>2.142857142857143</x:v>
      </x:c>
      <x:c r="P22" s="60" t="n">
        <x:f>'复位周汇总'!L16</x:f>
        <x:v>1</x:v>
      </x:c>
      <x:c r="Q22" s="24" t="str">
        <x:f>'复位周汇总'!O16</x:f>
        <x:v>高峰偏紧</x:v>
      </x:c>
      <x:c r="R22" s="24" t="str">
        <x:f>IF(OR(I22="数据异常",I22="人工数据缺失",I22="周期待确认",Q22="数据异常"),"必须补数据",IF(OR(J22="引流低效",Q22="高峰偏紧"),"必须处理",IF(OR(J22="引流观察",Q22="结构偏紧",Q22="复位偏松",I22&lt;&gt;"完整"),"观察调整","正常跟进")))</x:f>
        <x:v>必须补数据</x:v>
      </x:c>
    </x:row>
    <x:row r="23" ht="37.5" customHeight="1">
      <x:c r="A23" s="24" t="str">
        <x:f>'引流周汇总'!B17</x:f>
        <x:v>洛阳泉舜</x:v>
      </x:c>
      <x:c r="B23" s="54" t="n">
        <x:f>'引流周汇总'!D17</x:f>
        <x:v>59118</x:v>
      </x:c>
      <x:c r="C23" s="54" t="n">
        <x:f>'引流周汇总'!E17</x:f>
        <x:v>7</x:v>
      </x:c>
      <x:c r="D23" s="54" t="n">
        <x:f>'引流周汇总'!F17</x:f>
        <x:v>90.8</x:v>
      </x:c>
      <x:c r="E23" s="54" t="n">
        <x:f>'引流周汇总'!H17</x:f>
        <x:v>908</x:v>
      </x:c>
      <x:c r="F23" s="54" t="n">
        <x:f>'引流周汇总'!I17</x:f>
        <x:v>21128</x:v>
      </x:c>
      <x:c r="G23" s="57" t="n">
        <x:f>'引流周汇总'!J17</x:f>
        <x:v>23.26872246696035</x:v>
      </x:c>
      <x:c r="H23" s="54" t="n">
        <x:f>'引流周汇总'!K17</x:f>
        <x:v>232.68722466960352</x:v>
      </x:c>
      <x:c r="I23" s="24" t="str">
        <x:f>'引流周汇总'!Q17</x:f>
        <x:v>周期待确认</x:v>
      </x:c>
      <x:c r="J23" s="24" t="str">
        <x:f>'引流周汇总'!R17</x:f>
        <x:v>引流优秀</x:v>
      </x:c>
      <x:c r="K23" s="39" t="str">
        <x:f>'引流周汇总'!T17</x:f>
        <x:v>保持或增加有效点位排班，并培养复制。</x:v>
      </x:c>
      <x:c r="L23" s="24" t="n">
        <x:f>'复位周汇总'!E17</x:f>
        <x:v>4</x:v>
      </x:c>
      <x:c r="M23" s="24" t="n">
        <x:f>'复位周汇总'!D17</x:f>
        <x:v>12</x:v>
      </x:c>
      <x:c r="N23" s="24" t="n">
        <x:f>'复位周汇总'!F17</x:f>
        <x:v>173</x:v>
      </x:c>
      <x:c r="O23" s="98" t="n">
        <x:f>'复位周汇总'!K17</x:f>
        <x:v>3.6041666666666665</x:v>
      </x:c>
      <x:c r="P23" s="60" t="n">
        <x:f>'复位周汇总'!L17</x:f>
        <x:v>0.8009259259259259</x:v>
      </x:c>
      <x:c r="Q23" s="24" t="str">
        <x:f>'复位周汇总'!O17</x:f>
        <x:v>配置合理</x:v>
      </x:c>
      <x:c r="R23" s="24" t="str">
        <x:f>IF(OR(I23="数据异常",I23="人工数据缺失",I23="周期待确认",Q23="数据异常"),"必须补数据",IF(OR(J23="引流低效",Q23="高峰偏紧"),"必须处理",IF(OR(J23="引流观察",Q23="结构偏紧",Q23="复位偏松",I23&lt;&gt;"完整"),"观察调整","正常跟进")))</x:f>
        <x:v>必须补数据</x:v>
      </x:c>
    </x:row>
    <x:row r="24" ht="37.5" customHeight="1">
      <x:c r="A24" s="24" t="str">
        <x:f>'引流周汇总'!B18</x:f>
        <x:v>滑县吾悦</x:v>
      </x:c>
      <x:c r="B24" s="54" t="n">
        <x:f>'引流周汇总'!D18</x:f>
        <x:v>7070</x:v>
      </x:c>
      <x:c r="C24" s="54" t="n">
        <x:f>'引流周汇总'!E18</x:f>
        <x:v>5</x:v>
      </x:c>
      <x:c r="D24" s="54" t="n">
        <x:f>'引流周汇总'!F18</x:f>
        <x:v>77.2</x:v>
      </x:c>
      <x:c r="E24" s="54" t="n">
        <x:f>'引流周汇总'!H18</x:f>
        <x:v>772</x:v>
      </x:c>
      <x:c r="F24" s="54" t="n">
        <x:f>'引流周汇总'!I18</x:f>
        <x:v>3387</x:v>
      </x:c>
      <x:c r="G24" s="57" t="n">
        <x:f>'引流周汇总'!J18</x:f>
        <x:v>4.387305699481865</x:v>
      </x:c>
      <x:c r="H24" s="54" t="n">
        <x:f>'引流周汇总'!K18</x:f>
        <x:v>43.873056994818654</x:v>
      </x:c>
      <x:c r="I24" s="24" t="str">
        <x:f>'引流周汇总'!Q18</x:f>
        <x:v>周期待确认</x:v>
      </x:c>
      <x:c r="J24" s="24" t="str">
        <x:f>'引流周汇总'!R18</x:f>
        <x:v>引流低效</x:v>
      </x:c>
      <x:c r="K24" s="39" t="str">
        <x:f>'引流周汇总'!T18</x:f>
        <x:v>先减低效点位/时段工时，连续3周验证后再替换。</x:v>
      </x:c>
      <x:c r="L24" s="24" t="n">
        <x:f>'复位周汇总'!E18</x:f>
        <x:v>3</x:v>
      </x:c>
      <x:c r="M24" s="24" t="n">
        <x:f>'复位周汇总'!D18</x:f>
        <x:v>8</x:v>
      </x:c>
      <x:c r="N24" s="24" t="n">
        <x:f>'复位周汇总'!F18</x:f>
        <x:v>41</x:v>
      </x:c>
      <x:c r="O24" s="98" t="n">
        <x:f>'复位周汇总'!K18</x:f>
        <x:v>1.1388888888888888</x:v>
      </x:c>
      <x:c r="P24" s="60" t="n">
        <x:f>'复位周汇总'!L18</x:f>
        <x:v>0.2847222222222222</x:v>
      </x:c>
      <x:c r="Q24" s="24" t="str">
        <x:f>'复位周汇总'!O18</x:f>
        <x:v>配置合理</x:v>
      </x:c>
      <x:c r="R24" s="24" t="str">
        <x:f>IF(OR(I24="数据异常",I24="人工数据缺失",I24="周期待确认",Q24="数据异常"),"必须补数据",IF(OR(J24="引流低效",Q24="高峰偏紧"),"必须处理",IF(OR(J24="引流观察",Q24="结构偏紧",Q24="复位偏松",I24&lt;&gt;"完整"),"观察调整","正常跟进")))</x:f>
        <x:v>必须补数据</x:v>
      </x:c>
    </x:row>
    <x:row r="25" ht="37.5" customHeight="1">
      <x:c r="A25" s="24" t="str">
        <x:f>'引流周汇总'!B19</x:f>
        <x:v>焦作万达</x:v>
      </x:c>
      <x:c r="B25" s="54" t="n">
        <x:f>'引流周汇总'!D19</x:f>
        <x:v>34126.2</x:v>
      </x:c>
      <x:c r="C25" s="54" t="n">
        <x:f>'引流周汇总'!E19</x:f>
        <x:v>10</x:v>
      </x:c>
      <x:c r="D25" s="54" t="n">
        <x:f>'引流周汇总'!F19</x:f>
        <x:v>224</x:v>
      </x:c>
      <x:c r="E25" s="54" t="n">
        <x:f>'引流周汇总'!H19</x:f>
        <x:v>2240</x:v>
      </x:c>
      <x:c r="F25" s="54" t="n">
        <x:f>'引流周汇总'!I19</x:f>
        <x:v>32953.2</x:v>
      </x:c>
      <x:c r="G25" s="57" t="n">
        <x:f>'引流周汇总'!J19</x:f>
        <x:v>14.711249999999998</x:v>
      </x:c>
      <x:c r="H25" s="54" t="n">
        <x:f>'引流周汇总'!K19</x:f>
        <x:v>147.11249999999998</x:v>
      </x:c>
      <x:c r="I25" s="24" t="str">
        <x:f>'引流周汇总'!Q19</x:f>
        <x:v>周期待确认</x:v>
      </x:c>
      <x:c r="J25" s="24" t="str">
        <x:f>'引流周汇总'!R19</x:f>
        <x:v>引流优秀</x:v>
      </x:c>
      <x:c r="K25" s="39" t="str">
        <x:f>'引流周汇总'!T19</x:f>
        <x:v>保持或增加有效点位排班，并培养复制。</x:v>
      </x:c>
      <x:c r="L25" s="24" t="n">
        <x:f>'复位周汇总'!E19</x:f>
        <x:v>6</x:v>
      </x:c>
      <x:c r="M25" s="24" t="n">
        <x:f>'复位周汇总'!D19</x:f>
        <x:v>15</x:v>
      </x:c>
      <x:c r="N25" s="24" t="n">
        <x:f>'复位周汇总'!F19</x:f>
        <x:v>198</x:v>
      </x:c>
      <x:c r="O25" s="98" t="n">
        <x:f>'复位周汇总'!K19</x:f>
        <x:v>2.75</x:v>
      </x:c>
      <x:c r="P25" s="60" t="n">
        <x:f>'复位周汇总'!L19</x:f>
        <x:v>0.7333333333333333</x:v>
      </x:c>
      <x:c r="Q25" s="24" t="str">
        <x:f>'复位周汇总'!O19</x:f>
        <x:v>配置合理</x:v>
      </x:c>
      <x:c r="R25" s="24" t="str">
        <x:f>IF(OR(I25="数据异常",I25="人工数据缺失",I25="周期待确认",Q25="数据异常"),"必须补数据",IF(OR(J25="引流低效",Q25="高峰偏紧"),"必须处理",IF(OR(J25="引流观察",Q25="结构偏紧",Q25="复位偏松",I25&lt;&gt;"完整"),"观察调整","正常跟进")))</x:f>
        <x:v>必须补数据</x:v>
      </x:c>
    </x:row>
    <x:row r="26" ht="37.5" customHeight="1">
      <x:c r="A26" s="24" t="str">
        <x:f>'引流周汇总'!B20</x:f>
        <x:v>襄阳高新万达</x:v>
      </x:c>
      <x:c r="B26" s="54" t="n">
        <x:f>'引流周汇总'!D20</x:f>
        <x:v>26476</x:v>
      </x:c>
      <x:c r="C26" s="54" t="n">
        <x:f>'引流周汇总'!E20</x:f>
        <x:v>5</x:v>
      </x:c>
      <x:c r="D26" s="54" t="n">
        <x:f>'引流周汇总'!F20</x:f>
        <x:v>57.5</x:v>
      </x:c>
      <x:c r="E26" s="54" t="n">
        <x:f>'引流周汇总'!H20</x:f>
        <x:v>575</x:v>
      </x:c>
      <x:c r="F26" s="54" t="n">
        <x:f>'引流周汇总'!I20</x:f>
        <x:v>9151</x:v>
      </x:c>
      <x:c r="G26" s="57" t="n">
        <x:f>'引流周汇总'!J20</x:f>
        <x:v>15.914782608695653</x:v>
      </x:c>
      <x:c r="H26" s="54" t="n">
        <x:f>'引流周汇总'!K20</x:f>
        <x:v>159.1478260869565</x:v>
      </x:c>
      <x:c r="I26" s="24" t="str">
        <x:f>'引流周汇总'!Q20</x:f>
        <x:v>周期待确认</x:v>
      </x:c>
      <x:c r="J26" s="24" t="str">
        <x:f>'引流周汇总'!R20</x:f>
        <x:v>引流优秀</x:v>
      </x:c>
      <x:c r="K26" s="39" t="str">
        <x:f>'引流周汇总'!T20</x:f>
        <x:v>保持或增加有效点位排班，并培养复制。</x:v>
      </x:c>
      <x:c r="L26" s="24" t="n">
        <x:f>'复位周汇总'!E20</x:f>
        <x:v>4</x:v>
      </x:c>
      <x:c r="M26" s="24" t="n">
        <x:f>'复位周汇总'!D20</x:f>
        <x:v>10</x:v>
      </x:c>
      <x:c r="N26" s="24" t="n">
        <x:f>'复位周汇总'!F20</x:f>
        <x:v>105</x:v>
      </x:c>
      <x:c r="O26" s="98" t="n">
        <x:f>'复位周汇总'!K20</x:f>
        <x:v>2.1875</x:v>
      </x:c>
      <x:c r="P26" s="60" t="n">
        <x:f>'复位周汇总'!L20</x:f>
        <x:v>0.5833333333333334</x:v>
      </x:c>
      <x:c r="Q26" s="24" t="str">
        <x:f>'复位周汇总'!O20</x:f>
        <x:v>配置合理</x:v>
      </x:c>
      <x:c r="R26" s="24" t="str">
        <x:f>IF(OR(I26="数据异常",I26="人工数据缺失",I26="周期待确认",Q26="数据异常"),"必须补数据",IF(OR(J26="引流低效",Q26="高峰偏紧"),"必须处理",IF(OR(J26="引流观察",Q26="结构偏紧",Q26="复位偏松",I26&lt;&gt;"完整"),"观察调整","正常跟进")))</x:f>
        <x:v>必须补数据</x:v>
      </x:c>
    </x:row>
    <x:row r="27" ht="37.5" customHeight="1">
      <x:c r="A27" s="24" t="str">
        <x:f>'引流周汇总'!B21</x:f>
        <x:v>许昌万达</x:v>
      </x:c>
      <x:c r="B27" s="54" t="n">
        <x:f>'引流周汇总'!D21</x:f>
        <x:v>20704.6</x:v>
      </x:c>
      <x:c r="C27" s="54" t="n">
        <x:f>'引流周汇总'!E21</x:f>
        <x:v>6</x:v>
      </x:c>
      <x:c r="D27" s="54" t="n">
        <x:f>'引流周汇总'!F21</x:f>
        <x:v>89.6</x:v>
      </x:c>
      <x:c r="E27" s="54" t="n">
        <x:f>'引流周汇总'!H21</x:f>
        <x:v>896</x:v>
      </x:c>
      <x:c r="F27" s="54" t="n">
        <x:f>'引流周汇总'!I21</x:f>
        <x:v>11586</x:v>
      </x:c>
      <x:c r="G27" s="57" t="n">
        <x:f>'引流周汇总'!J21</x:f>
        <x:v>12.930803571428571</x:v>
      </x:c>
      <x:c r="H27" s="54" t="n">
        <x:f>'引流周汇总'!K21</x:f>
        <x:v>129.30803571428572</x:v>
      </x:c>
      <x:c r="I27" s="24" t="str">
        <x:f>'引流周汇总'!Q21</x:f>
        <x:v>周期待确认</x:v>
      </x:c>
      <x:c r="J27" s="24" t="str">
        <x:f>'引流周汇总'!R21</x:f>
        <x:v>引流优秀</x:v>
      </x:c>
      <x:c r="K27" s="39" t="str">
        <x:f>'引流周汇总'!T21</x:f>
        <x:v>保持或增加有效点位排班，并培养复制。</x:v>
      </x:c>
      <x:c r="L27" s="24" t="n">
        <x:f>'复位周汇总'!E21</x:f>
        <x:v>0</x:v>
      </x:c>
      <x:c r="M27" s="24" t="n">
        <x:f>'复位周汇总'!D21</x:f>
        <x:v>14</x:v>
      </x:c>
      <x:c r="N27" s="24" t="n">
        <x:f>'复位周汇总'!F21</x:f>
        <x:v>128</x:v>
      </x:c>
      <x:c r="O27" s="98" t="str">
        <x:f>'复位周汇总'!K21</x:f>
      </x:c>
      <x:c r="P27" s="60" t="n">
        <x:f>'复位周汇总'!L21</x:f>
        <x:v>0.5079365079365079</x:v>
      </x:c>
      <x:c r="Q27" s="24" t="str">
        <x:f>'复位周汇总'!O21</x:f>
        <x:v>数据异常</x:v>
      </x:c>
      <x:c r="R27" s="24" t="str">
        <x:f>IF(OR(I27="数据异常",I27="人工数据缺失",I27="周期待确认",Q27="数据异常"),"必须补数据",IF(OR(J27="引流低效",Q27="高峰偏紧"),"必须处理",IF(OR(J27="引流观察",Q27="结构偏紧",Q27="复位偏松",I27&lt;&gt;"完整"),"观察调整","正常跟进")))</x:f>
        <x:v>必须补数据</x:v>
      </x:c>
    </x:row>
    <x:row r="28" ht="37.5" customHeight="1">
      <x:c r="A28" s="25" t="str">
        <x:f>'引流周汇总'!B22</x:f>
        <x:v>郑州信万</x:v>
      </x:c>
      <x:c r="B28" s="55" t="n">
        <x:f>'引流周汇总'!D22</x:f>
        <x:v>14577</x:v>
      </x:c>
      <x:c r="C28" s="55" t="n">
        <x:f>'引流周汇总'!E22</x:f>
        <x:v>8</x:v>
      </x:c>
      <x:c r="D28" s="55" t="n">
        <x:f>'引流周汇总'!F22</x:f>
        <x:v>149.6</x:v>
      </x:c>
      <x:c r="E28" s="55" t="n">
        <x:f>'引流周汇总'!H22</x:f>
        <x:v>1496</x:v>
      </x:c>
      <x:c r="F28" s="55" t="n">
        <x:f>'引流周汇总'!I22</x:f>
        <x:v>20806.05</x:v>
      </x:c>
      <x:c r="G28" s="58" t="n">
        <x:f>'引流周汇总'!J22</x:f>
        <x:v>13.90778743315508</x:v>
      </x:c>
      <x:c r="H28" s="55" t="n">
        <x:f>'引流周汇总'!K22</x:f>
        <x:v>139.07787433155082</x:v>
      </x:c>
      <x:c r="I28" s="25" t="str">
        <x:f>'引流周汇总'!Q22</x:f>
        <x:v>周期待确认</x:v>
      </x:c>
      <x:c r="J28" s="25" t="str">
        <x:f>'引流周汇总'!R22</x:f>
        <x:v>引流观察</x:v>
      </x:c>
      <x:c r="K28" s="40" t="str">
        <x:f>'引流周汇总'!T22</x:f>
        <x:v>调整点位与时段，下一周复盘。</x:v>
      </x:c>
      <x:c r="L28" s="25" t="n">
        <x:f>'复位周汇总'!E22</x:f>
        <x:v>4</x:v>
      </x:c>
      <x:c r="M28" s="25" t="n">
        <x:f>'复位周汇总'!D22</x:f>
        <x:v>14</x:v>
      </x:c>
      <x:c r="N28" s="25" t="n">
        <x:f>'复位周汇总'!F22</x:f>
        <x:v>83</x:v>
      </x:c>
      <x:c r="O28" s="99" t="n">
        <x:f>'复位周汇总'!K22</x:f>
        <x:v>1.7291666666666667</x:v>
      </x:c>
      <x:c r="P28" s="61" t="n">
        <x:f>'复位周汇总'!L22</x:f>
        <x:v>0.32936507936507936</x:v>
      </x:c>
      <x:c r="Q28" s="25" t="str">
        <x:f>'复位周汇总'!O22</x:f>
        <x:v>配置合理</x:v>
      </x:c>
      <x:c r="R28" s="25" t="str">
        <x:f>IF(OR(I28="数据异常",I28="人工数据缺失",I28="周期待确认",Q28="数据异常"),"必须补数据",IF(OR(J28="引流低效",Q28="高峰偏紧"),"必须处理",IF(OR(J28="引流观察",Q28="结构偏紧",Q28="复位偏松",I28&lt;&gt;"完整"),"观察调整","正常跟进")))</x:f>
        <x:v>必须补数据</x:v>
      </x:c>
    </x:row>
  </x:sheetData>
  <x:mergeCells>
    <x:mergeCell ref="A1:R1"/>
    <x:mergeCell ref="A2:R2"/>
    <x:mergeCell ref="A3:B3"/>
    <x:mergeCell ref="A4:B5"/>
    <x:mergeCell ref="C3:D3"/>
    <x:mergeCell ref="C4:D5"/>
    <x:mergeCell ref="E3:F3"/>
    <x:mergeCell ref="E4:F5"/>
    <x:mergeCell ref="G3:H3"/>
    <x:mergeCell ref="G4:H5"/>
    <x:mergeCell ref="I3:J3"/>
    <x:mergeCell ref="I4:J5"/>
    <x:mergeCell ref="K3:L3"/>
    <x:mergeCell ref="K4:L5"/>
    <x:mergeCell ref="M3:N3"/>
    <x:mergeCell ref="M4:N5"/>
    <x:mergeCell ref="O3:P3"/>
    <x:mergeCell ref="O4:P5"/>
    <x:mergeCell ref="Q3:R3"/>
    <x:mergeCell ref="Q4:R5"/>
    <x:mergeCell ref="A7:R7"/>
  </x:mergeCells>
  <x:conditionalFormatting sqref="I10:J28">
    <x:cfRule type="containsText" dxfId="45" priority="1" operator="containsText" text="优秀"/>
    <x:cfRule type="containsText" dxfId="46" priority="2" operator="containsText" text="合理"/>
    <x:cfRule type="containsText" dxfId="47" priority="3" operator="containsText" text="正常"/>
    <x:cfRule type="containsText" dxfId="48" priority="4" operator="containsText" text="PASS"/>
    <x:cfRule type="containsText" dxfId="49" priority="5" operator="containsText" text="观察"/>
    <x:cfRule type="containsText" dxfId="50" priority="6" operator="containsText" text="缺失"/>
    <x:cfRule type="containsText" dxfId="51" priority="7" operator="containsText" text="待核实"/>
    <x:cfRule type="containsText" dxfId="52" priority="8" operator="containsText" text="待确认"/>
    <x:cfRule type="containsText" dxfId="53" priority="9" operator="containsText" text="CHECK"/>
    <x:cfRule type="containsText" dxfId="54" priority="10" operator="containsText" text="低效"/>
    <x:cfRule type="containsText" dxfId="55" priority="11" operator="containsText" text="偏紧"/>
    <x:cfRule type="containsText" dxfId="56" priority="12" operator="containsText" text="异常"/>
    <x:cfRule type="containsText" dxfId="57" priority="13" operator="containsText" text="ERROR"/>
    <x:cfRule type="containsText" dxfId="58" priority="14" operator="containsText" text="必须处理"/>
    <x:cfRule type="containsText" dxfId="59" priority="15" operator="containsText" text="必须补数据"/>
  </x:conditionalFormatting>
  <x:conditionalFormatting sqref="Q10:R28">
    <x:cfRule type="containsText" dxfId="60" priority="16" operator="containsText" text="优秀"/>
    <x:cfRule type="containsText" dxfId="61" priority="17" operator="containsText" text="合理"/>
    <x:cfRule type="containsText" dxfId="62" priority="18" operator="containsText" text="正常"/>
    <x:cfRule type="containsText" dxfId="63" priority="19" operator="containsText" text="PASS"/>
    <x:cfRule type="containsText" dxfId="64" priority="20" operator="containsText" text="观察"/>
    <x:cfRule type="containsText" dxfId="65" priority="21" operator="containsText" text="缺失"/>
    <x:cfRule type="containsText" dxfId="66" priority="22" operator="containsText" text="待核实"/>
    <x:cfRule type="containsText" dxfId="67" priority="23" operator="containsText" text="待确认"/>
    <x:cfRule type="containsText" dxfId="68" priority="24" operator="containsText" text="CHECK"/>
    <x:cfRule type="containsText" dxfId="69" priority="25" operator="containsText" text="低效"/>
    <x:cfRule type="containsText" dxfId="70" priority="26" operator="containsText" text="偏紧"/>
    <x:cfRule type="containsText" dxfId="71" priority="27" operator="containsText" text="异常"/>
    <x:cfRule type="containsText" dxfId="72" priority="28" operator="containsText" text="ERROR"/>
    <x:cfRule type="containsText" dxfId="73" priority="29" operator="containsText" text="必须处理"/>
    <x:cfRule type="containsText" dxfId="74" priority="30" operator="containsText" text="必须补数据"/>
  </x:conditionalFormatting>
  <x:pageMargins left="0.7" right="0.7" top="0.75" bottom="0.75" header="0.3" footer="0.3"/>
  <x:tableParts count="1">
    <x:tablePart xmlns:r="http://schemas.openxmlformats.org/officeDocument/2006/relationships" r:id="R0bc13e379e514ae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15" hidden="0" customWidth="1"/>
    <x:col min="3" max="3" width="6.440000057220459" hidden="0" customWidth="1"/>
    <x:col min="4" max="4" width="8" hidden="0" customWidth="1"/>
    <x:col min="5" max="5" width="11.109999656677246" hidden="0" customWidth="1"/>
    <x:col min="6" max="6" width="8.890000343322754" hidden="0" customWidth="1"/>
    <x:col min="7" max="7" width="8.890000343322754" hidden="0" customWidth="1"/>
    <x:col min="8" max="8" width="12.220000267028809" hidden="0" customWidth="1"/>
    <x:col min="9" max="9" width="12.220000267028809" hidden="0" customWidth="1"/>
    <x:col min="10" max="10" width="10.5600004196167" hidden="0" customWidth="1"/>
    <x:col min="11" max="11" width="8.890000343322754" hidden="0" customWidth="1"/>
    <x:col min="12" max="12" width="12.220000267028809" hidden="0" customWidth="1"/>
    <x:col min="13" max="13" width="12.779999732971191" hidden="0" customWidth="1"/>
    <x:col min="14" max="14" width="11.109999656677246" hidden="0" customWidth="1"/>
    <x:col min="15" max="15" width="11.670000076293945" hidden="0" customWidth="1"/>
    <x:col min="16" max="16" width="10" hidden="0" customWidth="1"/>
    <x:col min="17" max="17" width="13.890000343322754" hidden="0" customWidth="1"/>
    <x:col min="18" max="18" width="13.890000343322754" hidden="0" customWidth="1"/>
    <x:col min="19" max="19" width="15" hidden="0" customWidth="1"/>
    <x:col min="20" max="20" width="36.66999816894531" hidden="0" customWidth="1"/>
  </x:cols>
  <x:sheetData>
    <x:row r="1" ht="30" customHeight="1">
      <x:c r="A1" s="4" t="str">
        <x:v>门店周数据录入（黄色列可改；汇总页自动变化）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 ht="25.5" customHeight="1">
      <x:c r="A2" s="37" t="str">
        <x:v>周期：2026-07-06至2026-07-12。引流只统计周六、周日及国家法定节假日；复位波次为周六、周日14:00-20:00。空白=缺失，0=业务确认确实为0。引流实际人工成本默认按工时×实际时薪+额外提成/奖励；源表复位工资周期尚待确认。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</x:row>
    <x:row r="3" ht="34.5" customHeight="1">
      <x:c r="A3" s="16" t="str">
        <x:v>区域</x:v>
      </x:c>
      <x:c r="B3" s="17" t="str">
        <x:v>门店</x:v>
      </x:c>
      <x:c r="C3" s="17" t="str">
        <x:v>店型</x:v>
      </x:c>
      <x:c r="D3" s="17" t="str">
        <x:v>主题数</x:v>
      </x:c>
      <x:c r="E3" s="17" t="str">
        <x:v>总营收</x:v>
      </x:c>
      <x:c r="F3" s="17" t="str">
        <x:v>引流人数</x:v>
      </x:c>
      <x:c r="G3" s="17" t="str">
        <x:v>引流工时</x:v>
      </x:c>
      <x:c r="H3" s="17" t="str">
        <x:v>引流标准人工成本</x:v>
      </x:c>
      <x:c r="I3" s="17" t="str">
        <x:v>主要日期类型</x:v>
      </x:c>
      <x:c r="J3" s="17" t="str">
        <x:v>是否含节假日</x:v>
      </x:c>
      <x:c r="K3" s="17" t="str">
        <x:v>实际时薪</x:v>
      </x:c>
      <x:c r="L3" s="17" t="str">
        <x:v>额外提成/奖励</x:v>
      </x:c>
      <x:c r="M3" s="17" t="str">
        <x:v>引流实际人工成本</x:v>
      </x:c>
      <x:c r="N3" s="17" t="str">
        <x:v>引流到店人数</x:v>
      </x:c>
      <x:c r="O3" s="17" t="str">
        <x:v>引流成交金额</x:v>
      </x:c>
      <x:c r="P3" s="17" t="str">
        <x:v>引流办卡数</x:v>
      </x:c>
      <x:c r="Q3" s="17" t="str">
        <x:v>高峰复位人数（单日平均）</x:v>
      </x:c>
      <x:c r="R3" s="17" t="str">
        <x:v>周末14-20唯一账单数</x:v>
      </x:c>
      <x:c r="S3" s="17" t="str">
        <x:v>周末高峰复位实际人工成本</x:v>
      </x:c>
      <x:c r="T3" s="18" t="str">
        <x:v>数据备注</x:v>
      </x:c>
    </x:row>
    <x:row r="4" ht="27" customHeight="1">
      <x:c r="A4" s="23" t="str">
        <x:v>3区</x:v>
      </x:c>
      <x:c r="B4" s="23" t="str">
        <x:v>中原万达</x:v>
      </x:c>
      <x:c r="C4" s="23" t="str">
        <x:v>B类</x:v>
      </x:c>
      <x:c r="D4" s="26" t="n">
        <x:v>13</x:v>
      </x:c>
      <x:c r="E4" s="47" t="n">
        <x:v>24953</x:v>
      </x:c>
      <x:c r="F4" s="26" t="n">
        <x:v>7</x:v>
      </x:c>
      <x:c r="G4" s="47" t="n">
        <x:v>223.4</x:v>
      </x:c>
      <x:c r="H4" s="50" t="n">
        <x:f>IF(G4="","",G4*'规则参数'!$B$18)</x:f>
        <x:v>2234</x:v>
      </x:c>
      <x:c r="I4" s="26" t="str">
        <x:v>周末</x:v>
      </x:c>
      <x:c r="J4" s="26" t="str">
        <x:v>否</x:v>
      </x:c>
      <x:c r="K4" s="47" t="n">
        <x:v>10</x:v>
      </x:c>
      <x:c r="L4" s="47" t="n">
        <x:v>0</x:v>
      </x:c>
      <x:c r="M4" s="50" t="n">
        <x:f>IF(G4="","",G4*IF(K4="",'规则参数'!$B$18,K4)+IF(L4="",0,L4))</x:f>
        <x:v>2234</x:v>
      </x:c>
      <x:c r="N4" s="47"/>
      <x:c r="O4" s="47" t="n">
        <x:v>24832</x:v>
      </x:c>
      <x:c r="P4" s="47"/>
      <x:c r="Q4" s="47" t="n">
        <x:v>3</x:v>
      </x:c>
      <x:c r="R4" s="47" t="n">
        <x:v>89</x:v>
      </x:c>
      <x:c r="S4" s="47" t="n">
        <x:v>1833</x:v>
      </x:c>
      <x:c r="T4" s="41" t="str">
        <x:v>现值继承老板版，需确认已按周末/国家节假日过滤；到店/办卡待补</x:v>
      </x:c>
    </x:row>
    <x:row r="5" ht="27" customHeight="1">
      <x:c r="A5" s="24" t="str">
        <x:v>3区</x:v>
      </x:c>
      <x:c r="B5" s="24" t="str">
        <x:v>二七万象城</x:v>
      </x:c>
      <x:c r="C5" s="24" t="str">
        <x:v>B类</x:v>
      </x:c>
      <x:c r="D5" s="27" t="n">
        <x:v>15</x:v>
      </x:c>
      <x:c r="E5" s="48" t="n">
        <x:v>21827.18</x:v>
      </x:c>
      <x:c r="F5" s="27" t="n">
        <x:v>8</x:v>
      </x:c>
      <x:c r="G5" s="48" t="n">
        <x:v>80.5</x:v>
      </x:c>
      <x:c r="H5" s="51" t="n">
        <x:f>IF(G5="","",G5*'规则参数'!$B$18)</x:f>
        <x:v>805</x:v>
      </x:c>
      <x:c r="I5" s="27" t="str">
        <x:v>周末</x:v>
      </x:c>
      <x:c r="J5" s="27" t="str">
        <x:v>否</x:v>
      </x:c>
      <x:c r="K5" s="48" t="n">
        <x:v>10</x:v>
      </x:c>
      <x:c r="L5" s="48" t="n">
        <x:v>0</x:v>
      </x:c>
      <x:c r="M5" s="51" t="n">
        <x:f>IF(G5="","",G5*IF(K5="",'规则参数'!$B$18,K5)+IF(L5="",0,L5))</x:f>
        <x:v>805</x:v>
      </x:c>
      <x:c r="N5" s="48"/>
      <x:c r="O5" s="48" t="n">
        <x:v>7806.99</x:v>
      </x:c>
      <x:c r="P5" s="48"/>
      <x:c r="Q5" s="48" t="n">
        <x:v>7</x:v>
      </x:c>
      <x:c r="R5" s="48" t="n">
        <x:v>152</x:v>
      </x:c>
      <x:c r="S5" s="48" t="n">
        <x:v>2201</x:v>
      </x:c>
      <x:c r="T5" s="42" t="str">
        <x:v>现值继承老板版，需确认已按周末/国家节假日过滤；到店/办卡待补</x:v>
      </x:c>
    </x:row>
    <x:row r="6" ht="27" customHeight="1">
      <x:c r="A6" s="24" t="str">
        <x:v>1区</x:v>
      </x:c>
      <x:c r="B6" s="24" t="str">
        <x:v>信阳万达</x:v>
      </x:c>
      <x:c r="C6" s="24" t="str">
        <x:v>C类</x:v>
      </x:c>
      <x:c r="D6" s="27" t="n">
        <x:v>9</x:v>
      </x:c>
      <x:c r="E6" s="48" t="n">
        <x:v>9262.45</x:v>
      </x:c>
      <x:c r="F6" s="27" t="n">
        <x:v>2</x:v>
      </x:c>
      <x:c r="G6" s="48" t="n">
        <x:v>33.7</x:v>
      </x:c>
      <x:c r="H6" s="51" t="n">
        <x:f>IF(G6="","",G6*'规则参数'!$B$18)</x:f>
        <x:v>337</x:v>
      </x:c>
      <x:c r="I6" s="27" t="str">
        <x:v>周末</x:v>
      </x:c>
      <x:c r="J6" s="27" t="str">
        <x:v>否</x:v>
      </x:c>
      <x:c r="K6" s="48" t="n">
        <x:v>10</x:v>
      </x:c>
      <x:c r="L6" s="48" t="n">
        <x:v>0</x:v>
      </x:c>
      <x:c r="M6" s="51" t="n">
        <x:f>IF(G6="","",G6*IF(K6="",'规则参数'!$B$18,K6)+IF(L6="",0,L6))</x:f>
        <x:v>337</x:v>
      </x:c>
      <x:c r="N6" s="48"/>
      <x:c r="O6" s="48" t="n">
        <x:v>2389</x:v>
      </x:c>
      <x:c r="P6" s="48"/>
      <x:c r="Q6" s="48" t="n">
        <x:v>2</x:v>
      </x:c>
      <x:c r="R6" s="48" t="n">
        <x:v>67</x:v>
      </x:c>
      <x:c r="S6" s="48" t="n">
        <x:v>449</x:v>
      </x:c>
      <x:c r="T6" s="42" t="str">
        <x:v>现值继承老板版，需确认已按周末/国家节假日过滤；到店/办卡待补</x:v>
      </x:c>
    </x:row>
    <x:row r="7" ht="27" customHeight="1">
      <x:c r="A7" s="24" t="str">
        <x:v>1区</x:v>
      </x:c>
      <x:c r="B7" s="24" t="str">
        <x:v>南阳万达</x:v>
      </x:c>
      <x:c r="C7" s="24" t="str">
        <x:v>B类</x:v>
      </x:c>
      <x:c r="D7" s="27" t="n">
        <x:v>18</x:v>
      </x:c>
      <x:c r="E7" s="48" t="n">
        <x:v>21391</x:v>
      </x:c>
      <x:c r="F7" s="27" t="n">
        <x:v>5</x:v>
      </x:c>
      <x:c r="G7" s="48" t="n">
        <x:v>116.4</x:v>
      </x:c>
      <x:c r="H7" s="51" t="n">
        <x:f>IF(G7="","",G7*'规则参数'!$B$18)</x:f>
        <x:v>1164</x:v>
      </x:c>
      <x:c r="I7" s="27" t="str">
        <x:v>周末</x:v>
      </x:c>
      <x:c r="J7" s="27" t="str">
        <x:v>否</x:v>
      </x:c>
      <x:c r="K7" s="48" t="n">
        <x:v>10</x:v>
      </x:c>
      <x:c r="L7" s="48" t="n">
        <x:v>0</x:v>
      </x:c>
      <x:c r="M7" s="51" t="n">
        <x:f>IF(G7="","",G7*IF(K7="",'规则参数'!$B$18,K7)+IF(L7="",0,L7))</x:f>
        <x:v>1164</x:v>
      </x:c>
      <x:c r="N7" s="48"/>
      <x:c r="O7" s="48" t="n">
        <x:v>15615</x:v>
      </x:c>
      <x:c r="P7" s="48"/>
      <x:c r="Q7" s="48" t="n">
        <x:v>4</x:v>
      </x:c>
      <x:c r="R7" s="48" t="n">
        <x:v>132</x:v>
      </x:c>
      <x:c r="S7" s="48" t="n">
        <x:v>1967</x:v>
      </x:c>
      <x:c r="T7" s="42" t="str">
        <x:v>现值继承老板版，需确认已按周末/国家节假日过滤；到店/办卡待补</x:v>
      </x:c>
    </x:row>
    <x:row r="8" ht="27" customHeight="1">
      <x:c r="A8" s="24" t="str">
        <x:v>1区</x:v>
      </x:c>
      <x:c r="B8" s="24" t="str">
        <x:v>南阳吾悦</x:v>
      </x:c>
      <x:c r="C8" s="24" t="str">
        <x:v>A类</x:v>
      </x:c>
      <x:c r="D8" s="27" t="n">
        <x:v>14</x:v>
      </x:c>
      <x:c r="E8" s="48" t="n">
        <x:v>25424</x:v>
      </x:c>
      <x:c r="F8" s="27" t="n">
        <x:v>5</x:v>
      </x:c>
      <x:c r="G8" s="48" t="n">
        <x:v>48.9</x:v>
      </x:c>
      <x:c r="H8" s="51" t="n">
        <x:f>IF(G8="","",G8*'规则参数'!$B$18)</x:f>
        <x:v>489</x:v>
      </x:c>
      <x:c r="I8" s="27" t="str">
        <x:v>周末</x:v>
      </x:c>
      <x:c r="J8" s="27" t="str">
        <x:v>否</x:v>
      </x:c>
      <x:c r="K8" s="48" t="n">
        <x:v>10</x:v>
      </x:c>
      <x:c r="L8" s="48" t="n">
        <x:v>0</x:v>
      </x:c>
      <x:c r="M8" s="51" t="n">
        <x:f>IF(G8="","",G8*IF(K8="",'规则参数'!$B$18,K8)+IF(L8="",0,L8))</x:f>
        <x:v>489</x:v>
      </x:c>
      <x:c r="N8" s="48"/>
      <x:c r="O8" s="48" t="n">
        <x:v>9656</x:v>
      </x:c>
      <x:c r="P8" s="48"/>
      <x:c r="Q8" s="48" t="n">
        <x:v>4</x:v>
      </x:c>
      <x:c r="R8" s="48" t="n">
        <x:v>120</x:v>
      </x:c>
      <x:c r="S8" s="48" t="n">
        <x:v>2052</x:v>
      </x:c>
      <x:c r="T8" s="42" t="str">
        <x:v>现值继承老板版，需确认已按周末/国家节假日过滤；到店/办卡待补</x:v>
      </x:c>
    </x:row>
    <x:row r="9" ht="27" customHeight="1">
      <x:c r="A9" s="24" t="str">
        <x:v>2区</x:v>
      </x:c>
      <x:c r="B9" s="24" t="str">
        <x:v>周口万达</x:v>
      </x:c>
      <x:c r="C9" s="24" t="str">
        <x:v>C类</x:v>
      </x:c>
      <x:c r="D9" s="27" t="n">
        <x:v>9</x:v>
      </x:c>
      <x:c r="E9" s="48" t="n">
        <x:v>12342.4</x:v>
      </x:c>
      <x:c r="F9" s="27" t="n">
        <x:v>4</x:v>
      </x:c>
      <x:c r="G9" s="48" t="n">
        <x:v>96.1</x:v>
      </x:c>
      <x:c r="H9" s="51" t="n">
        <x:f>IF(G9="","",G9*'规则参数'!$B$18)</x:f>
        <x:v>961</x:v>
      </x:c>
      <x:c r="I9" s="27" t="str">
        <x:v>周末</x:v>
      </x:c>
      <x:c r="J9" s="27" t="str">
        <x:v>否</x:v>
      </x:c>
      <x:c r="K9" s="48" t="n">
        <x:v>10</x:v>
      </x:c>
      <x:c r="L9" s="48" t="n">
        <x:v>0</x:v>
      </x:c>
      <x:c r="M9" s="51" t="n">
        <x:f>IF(G9="","",G9*IF(K9="",'规则参数'!$B$18,K9)+IF(L9="",0,L9))</x:f>
        <x:v>961</x:v>
      </x:c>
      <x:c r="N9" s="48"/>
      <x:c r="O9" s="48" t="n">
        <x:v>8151.4</x:v>
      </x:c>
      <x:c r="P9" s="48"/>
      <x:c r="Q9" s="48" t="n">
        <x:v>1</x:v>
      </x:c>
      <x:c r="R9" s="48" t="n">
        <x:v>97</x:v>
      </x:c>
      <x:c r="S9" s="48" t="n">
        <x:v>304</x:v>
      </x:c>
      <x:c r="T9" s="42" t="str">
        <x:v>现值继承老板版，需确认已按周末/国家节假日过滤；到店/办卡待补</x:v>
      </x:c>
    </x:row>
    <x:row r="10" ht="27" customHeight="1">
      <x:c r="A10" s="24" t="str">
        <x:v>1区</x:v>
      </x:c>
      <x:c r="B10" s="24" t="str">
        <x:v>商丘万达</x:v>
      </x:c>
      <x:c r="C10" s="24" t="str">
        <x:v>C类</x:v>
      </x:c>
      <x:c r="D10" s="27" t="n">
        <x:v>13</x:v>
      </x:c>
      <x:c r="E10" s="48" t="n">
        <x:v>16572.05</x:v>
      </x:c>
      <x:c r="F10" s="27" t="n">
        <x:v>5</x:v>
      </x:c>
      <x:c r="G10" s="48" t="n">
        <x:v>190.4</x:v>
      </x:c>
      <x:c r="H10" s="51" t="n">
        <x:f>IF(G10="","",G10*'规则参数'!$B$18)</x:f>
        <x:v>1904</x:v>
      </x:c>
      <x:c r="I10" s="27" t="str">
        <x:v>周末</x:v>
      </x:c>
      <x:c r="J10" s="27" t="str">
        <x:v>否</x:v>
      </x:c>
      <x:c r="K10" s="48" t="n">
        <x:v>10</x:v>
      </x:c>
      <x:c r="L10" s="48" t="n">
        <x:v>0</x:v>
      </x:c>
      <x:c r="M10" s="51" t="n">
        <x:f>IF(G10="","",G10*IF(K10="",'规则参数'!$B$18,K10)+IF(L10="",0,L10))</x:f>
        <x:v>1904</x:v>
      </x:c>
      <x:c r="N10" s="48"/>
      <x:c r="O10" s="48" t="n">
        <x:v>23128.45</x:v>
      </x:c>
      <x:c r="P10" s="48"/>
      <x:c r="Q10" s="48" t="n">
        <x:v>3</x:v>
      </x:c>
      <x:c r="R10" s="48" t="n">
        <x:v>85</x:v>
      </x:c>
      <x:c r="S10" s="48" t="n">
        <x:v>1809</x:v>
      </x:c>
      <x:c r="T10" s="42" t="str">
        <x:v>现值继承老板版，需确认已按周末/国家节假日过滤；到店/办卡待补</x:v>
      </x:c>
    </x:row>
    <x:row r="11" ht="27" customHeight="1">
      <x:c r="A11" s="24" t="str">
        <x:v>3区</x:v>
      </x:c>
      <x:c r="B11" s="24" t="str">
        <x:v>安阳万达</x:v>
      </x:c>
      <x:c r="C11" s="24" t="str">
        <x:v>C类</x:v>
      </x:c>
      <x:c r="D11" s="27" t="n">
        <x:v>10</x:v>
      </x:c>
      <x:c r="E11" s="48" t="n">
        <x:v>6444</x:v>
      </x:c>
      <x:c r="F11" s="27" t="n">
        <x:v>5</x:v>
      </x:c>
      <x:c r="G11" s="48" t="n">
        <x:v>50.9</x:v>
      </x:c>
      <x:c r="H11" s="51" t="n">
        <x:f>IF(G11="","",G11*'规则参数'!$B$18)</x:f>
        <x:v>509</x:v>
      </x:c>
      <x:c r="I11" s="27" t="str">
        <x:v>周末</x:v>
      </x:c>
      <x:c r="J11" s="27" t="str">
        <x:v>否</x:v>
      </x:c>
      <x:c r="K11" s="48" t="n">
        <x:v>10</x:v>
      </x:c>
      <x:c r="L11" s="48" t="n">
        <x:v>0</x:v>
      </x:c>
      <x:c r="M11" s="51" t="n">
        <x:f>IF(G11="","",G11*IF(K11="",'规则参数'!$B$18,K11)+IF(L11="",0,L11))</x:f>
        <x:v>509</x:v>
      </x:c>
      <x:c r="N11" s="48"/>
      <x:c r="O11" s="48" t="n">
        <x:v>7375</x:v>
      </x:c>
      <x:c r="P11" s="48"/>
      <x:c r="Q11" s="48" t="n">
        <x:v>4</x:v>
      </x:c>
      <x:c r="R11" s="48" t="n">
        <x:v>38</x:v>
      </x:c>
      <x:c r="S11" s="48" t="n">
        <x:v>1158</x:v>
      </x:c>
      <x:c r="T11" s="42" t="str">
        <x:v>现值继承老板版，需确认已按周末/国家节假日过滤；到店/办卡待补</x:v>
      </x:c>
    </x:row>
    <x:row r="12" ht="27" customHeight="1">
      <x:c r="A12" s="24" t="str">
        <x:v>3区</x:v>
      </x:c>
      <x:c r="B12" s="24" t="str">
        <x:v>开封万达</x:v>
      </x:c>
      <x:c r="C12" s="24" t="str">
        <x:v>A类</x:v>
      </x:c>
      <x:c r="D12" s="27" t="n">
        <x:v>13</x:v>
      </x:c>
      <x:c r="E12" s="48" t="n">
        <x:v>22735</x:v>
      </x:c>
      <x:c r="F12" s="27" t="n">
        <x:v>7</x:v>
      </x:c>
      <x:c r="G12" s="48" t="n">
        <x:v>90.3</x:v>
      </x:c>
      <x:c r="H12" s="51" t="n">
        <x:f>IF(G12="","",G12*'规则参数'!$B$18)</x:f>
        <x:v>903</x:v>
      </x:c>
      <x:c r="I12" s="27" t="str">
        <x:v>周末</x:v>
      </x:c>
      <x:c r="J12" s="27" t="str">
        <x:v>否</x:v>
      </x:c>
      <x:c r="K12" s="48" t="n">
        <x:v>10</x:v>
      </x:c>
      <x:c r="L12" s="48" t="n">
        <x:v>0</x:v>
      </x:c>
      <x:c r="M12" s="51" t="n">
        <x:f>IF(G12="","",G12*IF(K12="",'规则参数'!$B$18,K12)+IF(L12="",0,L12))</x:f>
        <x:v>903</x:v>
      </x:c>
      <x:c r="N12" s="48"/>
      <x:c r="O12" s="48" t="n">
        <x:v>21109</x:v>
      </x:c>
      <x:c r="P12" s="48"/>
      <x:c r="Q12" s="48" t="n">
        <x:v>3</x:v>
      </x:c>
      <x:c r="R12" s="48" t="n">
        <x:v>106</x:v>
      </x:c>
      <x:c r="S12" s="48" t="n">
        <x:v>521</x:v>
      </x:c>
      <x:c r="T12" s="42" t="str">
        <x:v>现值继承老板版，需确认已按周末/国家节假日过滤；到店/办卡待补</x:v>
      </x:c>
    </x:row>
    <x:row r="13" ht="27" customHeight="1">
      <x:c r="A13" s="24" t="str">
        <x:v>2区</x:v>
      </x:c>
      <x:c r="B13" s="24" t="str">
        <x:v>惠济万达</x:v>
      </x:c>
      <x:c r="C13" s="24" t="str">
        <x:v>B类</x:v>
      </x:c>
      <x:c r="D13" s="27" t="n">
        <x:v>10</x:v>
      </x:c>
      <x:c r="E13" s="48" t="n">
        <x:v>19046</x:v>
      </x:c>
      <x:c r="F13" s="27" t="n">
        <x:v>6</x:v>
      </x:c>
      <x:c r="G13" s="48" t="n">
        <x:v>44.6</x:v>
      </x:c>
      <x:c r="H13" s="51" t="n">
        <x:f>IF(G13="","",G13*'规则参数'!$B$18)</x:f>
        <x:v>446</x:v>
      </x:c>
      <x:c r="I13" s="27" t="str">
        <x:v>周末</x:v>
      </x:c>
      <x:c r="J13" s="27" t="str">
        <x:v>否</x:v>
      </x:c>
      <x:c r="K13" s="48" t="n">
        <x:v>10</x:v>
      </x:c>
      <x:c r="L13" s="48" t="n">
        <x:v>0</x:v>
      </x:c>
      <x:c r="M13" s="51" t="n">
        <x:f>IF(G13="","",G13*IF(K13="",'规则参数'!$B$18,K13)+IF(L13="",0,L13))</x:f>
        <x:v>446</x:v>
      </x:c>
      <x:c r="N13" s="48"/>
      <x:c r="O13" s="48" t="n">
        <x:v>10582</x:v>
      </x:c>
      <x:c r="P13" s="48"/>
      <x:c r="Q13" s="48" t="n">
        <x:v>4</x:v>
      </x:c>
      <x:c r="R13" s="48" t="n">
        <x:v>97</x:v>
      </x:c>
      <x:c r="S13" s="48" t="n">
        <x:v>965</x:v>
      </x:c>
      <x:c r="T13" s="42" t="str">
        <x:v>现值继承老板版，需确认已按周末/国家节假日过滤；到店/办卡待补</x:v>
      </x:c>
    </x:row>
    <x:row r="14" ht="27" customHeight="1">
      <x:c r="A14" s="24" t="str">
        <x:v>2区</x:v>
      </x:c>
      <x:c r="B14" s="24" t="str">
        <x:v>新乡万达</x:v>
      </x:c>
      <x:c r="C14" s="24" t="str">
        <x:v>C类</x:v>
      </x:c>
      <x:c r="D14" s="27" t="n">
        <x:v>13</x:v>
      </x:c>
      <x:c r="E14" s="48" t="n">
        <x:v>14678.2</x:v>
      </x:c>
      <x:c r="F14" s="27" t="n">
        <x:v>8</x:v>
      </x:c>
      <x:c r="G14" s="48" t="n">
        <x:v>169.9</x:v>
      </x:c>
      <x:c r="H14" s="51" t="n">
        <x:f>IF(G14="","",G14*'规则参数'!$B$18)</x:f>
        <x:v>1699</x:v>
      </x:c>
      <x:c r="I14" s="27" t="str">
        <x:v>周末</x:v>
      </x:c>
      <x:c r="J14" s="27" t="str">
        <x:v>否</x:v>
      </x:c>
      <x:c r="K14" s="48" t="n">
        <x:v>10</x:v>
      </x:c>
      <x:c r="L14" s="48" t="n">
        <x:v>0</x:v>
      </x:c>
      <x:c r="M14" s="51" t="n">
        <x:f>IF(G14="","",G14*IF(K14="",'规则参数'!$B$18,K14)+IF(L14="",0,L14))</x:f>
        <x:v>1699</x:v>
      </x:c>
      <x:c r="N14" s="48"/>
      <x:c r="O14" s="48" t="n">
        <x:v>22490.2</x:v>
      </x:c>
      <x:c r="P14" s="48"/>
      <x:c r="Q14" s="48" t="n">
        <x:v>5</x:v>
      </x:c>
      <x:c r="R14" s="48" t="n">
        <x:v>124</x:v>
      </x:c>
      <x:c r="S14" s="48" t="n">
        <x:v>1504</x:v>
      </x:c>
      <x:c r="T14" s="42" t="str">
        <x:v>现值继承老板版，需确认已按周末/国家节假日过滤；到店/办卡待补</x:v>
      </x:c>
    </x:row>
    <x:row r="15" ht="27" customHeight="1">
      <x:c r="A15" s="24" t="str">
        <x:v>3区</x:v>
      </x:c>
      <x:c r="B15" s="24" t="str">
        <x:v>武汉荟聚</x:v>
      </x:c>
      <x:c r="C15" s="24" t="str">
        <x:v>A类</x:v>
      </x:c>
      <x:c r="D15" s="27" t="n">
        <x:v>10</x:v>
      </x:c>
      <x:c r="E15" s="48" t="n">
        <x:v>37327</x:v>
      </x:c>
      <x:c r="F15" s="27" t="n">
        <x:v>14</x:v>
      </x:c>
      <x:c r="G15" s="48" t="n">
        <x:v>225.6</x:v>
      </x:c>
      <x:c r="H15" s="51" t="n">
        <x:f>IF(G15="","",G15*'规则参数'!$B$18)</x:f>
        <x:v>2256</x:v>
      </x:c>
      <x:c r="I15" s="27" t="str">
        <x:v>周末</x:v>
      </x:c>
      <x:c r="J15" s="27" t="str">
        <x:v>否</x:v>
      </x:c>
      <x:c r="K15" s="48" t="n">
        <x:v>10</x:v>
      </x:c>
      <x:c r="L15" s="48" t="n">
        <x:v>0</x:v>
      </x:c>
      <x:c r="M15" s="51" t="n">
        <x:f>IF(G15="","",G15*IF(K15="",'规则参数'!$B$18,K15)+IF(L15="",0,L15))</x:f>
        <x:v>2256</x:v>
      </x:c>
      <x:c r="N15" s="48"/>
      <x:c r="O15" s="48" t="n">
        <x:v>55821</x:v>
      </x:c>
      <x:c r="P15" s="48"/>
      <x:c r="Q15" s="48" t="n">
        <x:v>4</x:v>
      </x:c>
      <x:c r="R15" s="48" t="n">
        <x:v>132</x:v>
      </x:c>
      <x:c r="S15" s="48" t="n">
        <x:v>1815</x:v>
      </x:c>
      <x:c r="T15" s="42" t="str">
        <x:v>现值继承老板版，需确认已按周末/国家节假日过滤；到店/办卡待补</x:v>
      </x:c>
    </x:row>
    <x:row r="16" ht="27" customHeight="1">
      <x:c r="A16" s="24" t="str">
        <x:v>2区</x:v>
      </x:c>
      <x:c r="B16" s="24" t="str">
        <x:v>洛阳中州</x:v>
      </x:c>
      <x:c r="C16" s="24" t="str">
        <x:v>B类</x:v>
      </x:c>
      <x:c r="D16" s="27" t="n">
        <x:v>10</x:v>
      </x:c>
      <x:c r="E16" s="48" t="n">
        <x:v>57467</x:v>
      </x:c>
      <x:c r="F16" s="27" t="n">
        <x:v>5</x:v>
      </x:c>
      <x:c r="G16" s="48" t="n">
        <x:v>150</x:v>
      </x:c>
      <x:c r="H16" s="51" t="n">
        <x:f>IF(G16="","",G16*'规则参数'!$B$18)</x:f>
        <x:v>1500</x:v>
      </x:c>
      <x:c r="I16" s="27" t="str">
        <x:v>周末</x:v>
      </x:c>
      <x:c r="J16" s="27" t="str">
        <x:v>否</x:v>
      </x:c>
      <x:c r="K16" s="48" t="n">
        <x:v>10</x:v>
      </x:c>
      <x:c r="L16" s="48" t="n">
        <x:v>0</x:v>
      </x:c>
      <x:c r="M16" s="51" t="n">
        <x:f>IF(G16="","",G16*IF(K16="",'规则参数'!$B$18,K16)+IF(L16="",0,L16))</x:f>
        <x:v>1500</x:v>
      </x:c>
      <x:c r="N16" s="48"/>
      <x:c r="O16" s="48" t="n">
        <x:v>20406</x:v>
      </x:c>
      <x:c r="P16" s="48"/>
      <x:c r="Q16" s="48" t="n">
        <x:v>7</x:v>
      </x:c>
      <x:c r="R16" s="48" t="n">
        <x:v>180</x:v>
      </x:c>
      <x:c r="S16" s="48" t="n">
        <x:v>2629</x:v>
      </x:c>
      <x:c r="T16" s="42" t="str">
        <x:v>现值继承老板版，需确认已按周末/国家节假日过滤；到店/办卡待补</x:v>
      </x:c>
    </x:row>
    <x:row r="17" ht="27" customHeight="1">
      <x:c r="A17" s="24" t="str">
        <x:v>2区</x:v>
      </x:c>
      <x:c r="B17" s="24" t="str">
        <x:v>洛阳泉舜</x:v>
      </x:c>
      <x:c r="C17" s="24" t="str">
        <x:v>A类</x:v>
      </x:c>
      <x:c r="D17" s="27" t="n">
        <x:v>12</x:v>
      </x:c>
      <x:c r="E17" s="48" t="n">
        <x:v>59118</x:v>
      </x:c>
      <x:c r="F17" s="27" t="n">
        <x:v>7</x:v>
      </x:c>
      <x:c r="G17" s="48" t="n">
        <x:v>90.8</x:v>
      </x:c>
      <x:c r="H17" s="51" t="n">
        <x:f>IF(G17="","",G17*'规则参数'!$B$18)</x:f>
        <x:v>908</x:v>
      </x:c>
      <x:c r="I17" s="27" t="str">
        <x:v>周末</x:v>
      </x:c>
      <x:c r="J17" s="27" t="str">
        <x:v>否</x:v>
      </x:c>
      <x:c r="K17" s="48" t="n">
        <x:v>10</x:v>
      </x:c>
      <x:c r="L17" s="48" t="n">
        <x:v>0</x:v>
      </x:c>
      <x:c r="M17" s="51" t="n">
        <x:f>IF(G17="","",G17*IF(K17="",'规则参数'!$B$18,K17)+IF(L17="",0,L17))</x:f>
        <x:v>908</x:v>
      </x:c>
      <x:c r="N17" s="48"/>
      <x:c r="O17" s="48" t="n">
        <x:v>21128</x:v>
      </x:c>
      <x:c r="P17" s="48"/>
      <x:c r="Q17" s="48" t="n">
        <x:v>4</x:v>
      </x:c>
      <x:c r="R17" s="48" t="n">
        <x:v>173</x:v>
      </x:c>
      <x:c r="S17" s="48" t="n">
        <x:v>1774</x:v>
      </x:c>
      <x:c r="T17" s="42" t="str">
        <x:v>现值继承老板版，需确认已按周末/国家节假日过滤；到店/办卡待补</x:v>
      </x:c>
    </x:row>
    <x:row r="18" ht="27" customHeight="1">
      <x:c r="A18" s="24" t="str">
        <x:v>3区</x:v>
      </x:c>
      <x:c r="B18" s="24" t="str">
        <x:v>滑县吾悦</x:v>
      </x:c>
      <x:c r="C18" s="24" t="str">
        <x:v>C类</x:v>
      </x:c>
      <x:c r="D18" s="27" t="n">
        <x:v>8</x:v>
      </x:c>
      <x:c r="E18" s="48" t="n">
        <x:v>7070</x:v>
      </x:c>
      <x:c r="F18" s="27" t="n">
        <x:v>5</x:v>
      </x:c>
      <x:c r="G18" s="48" t="n">
        <x:v>77.2</x:v>
      </x:c>
      <x:c r="H18" s="51" t="n">
        <x:f>IF(G18="","",G18*'规则参数'!$B$18)</x:f>
        <x:v>772</x:v>
      </x:c>
      <x:c r="I18" s="27" t="str">
        <x:v>周末</x:v>
      </x:c>
      <x:c r="J18" s="27" t="str">
        <x:v>否</x:v>
      </x:c>
      <x:c r="K18" s="48" t="n">
        <x:v>10</x:v>
      </x:c>
      <x:c r="L18" s="48" t="n">
        <x:v>0</x:v>
      </x:c>
      <x:c r="M18" s="51" t="n">
        <x:f>IF(G18="","",G18*IF(K18="",'规则参数'!$B$18,K18)+IF(L18="",0,L18))</x:f>
        <x:v>772</x:v>
      </x:c>
      <x:c r="N18" s="48"/>
      <x:c r="O18" s="48" t="n">
        <x:v>3387</x:v>
      </x:c>
      <x:c r="P18" s="48"/>
      <x:c r="Q18" s="48" t="n">
        <x:v>3</x:v>
      </x:c>
      <x:c r="R18" s="48" t="n">
        <x:v>41</x:v>
      </x:c>
      <x:c r="S18" s="48" t="n">
        <x:v>796</x:v>
      </x:c>
      <x:c r="T18" s="42" t="str">
        <x:v>现值继承老板版，需确认已按周末/国家节假日过滤；到店/办卡待补</x:v>
      </x:c>
    </x:row>
    <x:row r="19" ht="27" customHeight="1">
      <x:c r="A19" s="24" t="str">
        <x:v>2区</x:v>
      </x:c>
      <x:c r="B19" s="24" t="str">
        <x:v>焦作万达</x:v>
      </x:c>
      <x:c r="C19" s="24" t="str">
        <x:v>A类</x:v>
      </x:c>
      <x:c r="D19" s="27" t="n">
        <x:v>15</x:v>
      </x:c>
      <x:c r="E19" s="48" t="n">
        <x:v>34126.2</x:v>
      </x:c>
      <x:c r="F19" s="27" t="n">
        <x:v>10</x:v>
      </x:c>
      <x:c r="G19" s="48" t="n">
        <x:v>224</x:v>
      </x:c>
      <x:c r="H19" s="51" t="n">
        <x:f>IF(G19="","",G19*'规则参数'!$B$18)</x:f>
        <x:v>2240</x:v>
      </x:c>
      <x:c r="I19" s="27" t="str">
        <x:v>周末</x:v>
      </x:c>
      <x:c r="J19" s="27" t="str">
        <x:v>否</x:v>
      </x:c>
      <x:c r="K19" s="48" t="n">
        <x:v>10</x:v>
      </x:c>
      <x:c r="L19" s="48" t="n">
        <x:v>0</x:v>
      </x:c>
      <x:c r="M19" s="51" t="n">
        <x:f>IF(G19="","",G19*IF(K19="",'规则参数'!$B$18,K19)+IF(L19="",0,L19))</x:f>
        <x:v>2240</x:v>
      </x:c>
      <x:c r="N19" s="48"/>
      <x:c r="O19" s="48" t="n">
        <x:v>32953.2</x:v>
      </x:c>
      <x:c r="P19" s="48"/>
      <x:c r="Q19" s="48" t="n">
        <x:v>6</x:v>
      </x:c>
      <x:c r="R19" s="48" t="n">
        <x:v>198</x:v>
      </x:c>
      <x:c r="S19" s="48" t="n">
        <x:v>2005</x:v>
      </x:c>
      <x:c r="T19" s="42" t="str">
        <x:v>现值继承老板版，需确认已按周末/国家节假日过滤；到店/办卡待补</x:v>
      </x:c>
    </x:row>
    <x:row r="20" ht="27" customHeight="1">
      <x:c r="A20" s="24" t="str">
        <x:v>1区</x:v>
      </x:c>
      <x:c r="B20" s="24" t="str">
        <x:v>襄阳高新万达</x:v>
      </x:c>
      <x:c r="C20" s="24" t="str">
        <x:v>A类</x:v>
      </x:c>
      <x:c r="D20" s="27" t="n">
        <x:v>10</x:v>
      </x:c>
      <x:c r="E20" s="48" t="n">
        <x:v>26476</x:v>
      </x:c>
      <x:c r="F20" s="27" t="n">
        <x:v>5</x:v>
      </x:c>
      <x:c r="G20" s="48" t="n">
        <x:v>57.5</x:v>
      </x:c>
      <x:c r="H20" s="51" t="n">
        <x:f>IF(G20="","",G20*'规则参数'!$B$18)</x:f>
        <x:v>575</x:v>
      </x:c>
      <x:c r="I20" s="27" t="str">
        <x:v>周末</x:v>
      </x:c>
      <x:c r="J20" s="27" t="str">
        <x:v>否</x:v>
      </x:c>
      <x:c r="K20" s="48" t="n">
        <x:v>10</x:v>
      </x:c>
      <x:c r="L20" s="48" t="n">
        <x:v>0</x:v>
      </x:c>
      <x:c r="M20" s="51" t="n">
        <x:f>IF(G20="","",G20*IF(K20="",'规则参数'!$B$18,K20)+IF(L20="",0,L20))</x:f>
        <x:v>575</x:v>
      </x:c>
      <x:c r="N20" s="48"/>
      <x:c r="O20" s="48" t="n">
        <x:v>9151</x:v>
      </x:c>
      <x:c r="P20" s="48"/>
      <x:c r="Q20" s="48" t="n">
        <x:v>4</x:v>
      </x:c>
      <x:c r="R20" s="48" t="n">
        <x:v>105</x:v>
      </x:c>
      <x:c r="S20" s="48" t="n">
        <x:v>281</x:v>
      </x:c>
      <x:c r="T20" s="42" t="str">
        <x:v>现值继承老板版，需确认已按周末/国家节假日过滤；到店/办卡待补</x:v>
      </x:c>
    </x:row>
    <x:row r="21" ht="27" customHeight="1">
      <x:c r="A21" s="24" t="str">
        <x:v>1区</x:v>
      </x:c>
      <x:c r="B21" s="24" t="str">
        <x:v>许昌万达</x:v>
      </x:c>
      <x:c r="C21" s="24" t="str">
        <x:v>B类</x:v>
      </x:c>
      <x:c r="D21" s="27" t="n">
        <x:v>14</x:v>
      </x:c>
      <x:c r="E21" s="48" t="n">
        <x:v>20704.6</x:v>
      </x:c>
      <x:c r="F21" s="27" t="n">
        <x:v>6</x:v>
      </x:c>
      <x:c r="G21" s="48" t="n">
        <x:v>89.6</x:v>
      </x:c>
      <x:c r="H21" s="51" t="n">
        <x:f>IF(G21="","",G21*'规则参数'!$B$18)</x:f>
        <x:v>896</x:v>
      </x:c>
      <x:c r="I21" s="27" t="str">
        <x:v>周末</x:v>
      </x:c>
      <x:c r="J21" s="27" t="str">
        <x:v>否</x:v>
      </x:c>
      <x:c r="K21" s="48" t="n">
        <x:v>10</x:v>
      </x:c>
      <x:c r="L21" s="48" t="n">
        <x:v>0</x:v>
      </x:c>
      <x:c r="M21" s="51" t="n">
        <x:f>IF(G21="","",G21*IF(K21="",'规则参数'!$B$18,K21)+IF(L21="",0,L21))</x:f>
        <x:v>896</x:v>
      </x:c>
      <x:c r="N21" s="48"/>
      <x:c r="O21" s="48" t="n">
        <x:v>11586</x:v>
      </x:c>
      <x:c r="P21" s="48"/>
      <x:c r="Q21" s="48" t="n">
        <x:v>0</x:v>
      </x:c>
      <x:c r="R21" s="48" t="n">
        <x:v>128</x:v>
      </x:c>
      <x:c r="S21" s="48" t="n">
        <x:v>0</x:v>
      </x:c>
      <x:c r="T21" s="42" t="str">
        <x:v>现值继承老板版，需确认已按周末/国家节假日过滤；到店/办卡待补</x:v>
      </x:c>
    </x:row>
    <x:row r="22" ht="27" customHeight="1">
      <x:c r="A22" s="25" t="str">
        <x:v>2区</x:v>
      </x:c>
      <x:c r="B22" s="25" t="str">
        <x:v>郑州信万</x:v>
      </x:c>
      <x:c r="C22" s="25" t="str">
        <x:v>C类</x:v>
      </x:c>
      <x:c r="D22" s="28" t="n">
        <x:v>14</x:v>
      </x:c>
      <x:c r="E22" s="49" t="n">
        <x:v>14577</x:v>
      </x:c>
      <x:c r="F22" s="28" t="n">
        <x:v>8</x:v>
      </x:c>
      <x:c r="G22" s="49" t="n">
        <x:v>149.6</x:v>
      </x:c>
      <x:c r="H22" s="52" t="n">
        <x:f>IF(G22="","",G22*'规则参数'!$B$18)</x:f>
        <x:v>1496</x:v>
      </x:c>
      <x:c r="I22" s="28" t="str">
        <x:v>周末</x:v>
      </x:c>
      <x:c r="J22" s="28" t="str">
        <x:v>否</x:v>
      </x:c>
      <x:c r="K22" s="49" t="n">
        <x:v>10</x:v>
      </x:c>
      <x:c r="L22" s="49" t="n">
        <x:v>0</x:v>
      </x:c>
      <x:c r="M22" s="52" t="n">
        <x:f>IF(G22="","",G22*IF(K22="",'规则参数'!$B$18,K22)+IF(L22="",0,L22))</x:f>
        <x:v>1496</x:v>
      </x:c>
      <x:c r="N22" s="49"/>
      <x:c r="O22" s="49" t="n">
        <x:v>20806.05</x:v>
      </x:c>
      <x:c r="P22" s="49"/>
      <x:c r="Q22" s="49" t="n">
        <x:v>4</x:v>
      </x:c>
      <x:c r="R22" s="49" t="n">
        <x:v>83</x:v>
      </x:c>
      <x:c r="S22" s="49" t="n">
        <x:v>1546</x:v>
      </x:c>
      <x:c r="T22" s="43" t="str">
        <x:v>现值继承老板版，需确认已按周末/国家节假日过滤；到店/办卡待补</x:v>
      </x:c>
    </x:row>
  </x:sheetData>
  <x:mergeCells>
    <x:mergeCell ref="A1:T1"/>
    <x:mergeCell ref="A2:T2"/>
  </x:mergeCells>
  <x:dataValidations count="2">
    <x:dataValidation type="list" sqref="I4:I22">
      <x:formula1>"周末,国家法定节假日,周末+国家法定节假日"</x:formula1>
    </x:dataValidation>
    <x:dataValidation type="list" sqref="J4:J22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fd60708f1840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6.670000076293945" hidden="0" customWidth="1"/>
    <x:col min="3" max="3" width="57.779998779296875" hidden="0" customWidth="1"/>
    <x:col min="4" max="4" width="7.78000020980835" hidden="0" customWidth="1"/>
    <x:col min="5" max="5" width="7.78000020980835" hidden="0" customWidth="1"/>
    <x:col min="6" max="6" width="7.78000020980835" hidden="0" customWidth="1"/>
  </x:cols>
  <x:sheetData>
    <x:row r="1" ht="30" customHeight="1">
      <x:c r="A1" s="4" t="str">
        <x:v>门店兼职人效规则参数（黄色数值可调整）</x:v>
      </x:c>
      <x:c r="B1" s="4"/>
      <x:c r="C1" s="4"/>
      <x:c r="D1" s="4"/>
      <x:c r="E1" s="4"/>
      <x:c r="F1" s="4"/>
    </x:row>
    <x:row r="3" ht="34.5" customHeight="1">
      <x:c r="A3" s="16" t="str">
        <x:v>参数</x:v>
      </x:c>
      <x:c r="B3" s="17" t="str">
        <x:v>数值</x:v>
      </x:c>
      <x:c r="C3" s="18" t="str">
        <x:v>说明</x:v>
      </x:c>
    </x:row>
    <x:row r="4">
      <x:c r="A4" s="23" t="str">
        <x:v>高峰小时数/天</x:v>
      </x:c>
      <x:c r="B4" s="26" t="n">
        <x:v>6</x:v>
      </x:c>
      <x:c r="C4" s="23" t="str">
        <x:v>本版复位高峰为14:00-20:00</x:v>
      </x:c>
    </x:row>
    <x:row r="5">
      <x:c r="A5" s="24" t="str">
        <x:v>高峰天数</x:v>
      </x:c>
      <x:c r="B5" s="27" t="n">
        <x:v>2</x:v>
      </x:c>
      <x:c r="C5" s="24" t="str">
        <x:v>周六+周日，共12小时</x:v>
      </x:c>
    </x:row>
    <x:row r="6">
      <x:c r="A6" s="24" t="str">
        <x:v>单主题平均游玩分钟</x:v>
      </x:c>
      <x:c r="B6" s="27" t="n">
        <x:v>40</x:v>
      </x:c>
      <x:c r="C6" s="24" t="str">
        <x:v>只用于理论满负荷容量，不替代实际波次</x:v>
      </x:c>
    </x:row>
    <x:row r="7">
      <x:c r="A7" s="24" t="str">
        <x:v>引流产出倍数低效线</x:v>
      </x:c>
      <x:c r="B7" s="27" t="n">
        <x:v>8</x:v>
      </x:c>
      <x:c r="C7" s="24" t="str">
        <x:v>成交金额÷实际人工成本；它不是财务ROI</x:v>
      </x:c>
    </x:row>
    <x:row r="8">
      <x:c r="A8" s="24" t="str">
        <x:v>引流产出倍数观察线</x:v>
      </x:c>
      <x:c r="B8" s="27" t="n">
        <x:v>10</x:v>
      </x:c>
      <x:c r="C8" s="24" t="str">
        <x:v>低于10但不低于8进入观察</x:v>
      </x:c>
    </x:row>
    <x:row r="9">
      <x:c r="A9" s="24" t="str">
        <x:v>每小时成交金额低效线</x:v>
      </x:c>
      <x:c r="B9" s="27" t="n">
        <x:v>100</x:v>
      </x:c>
      <x:c r="C9" s="24" t="str">
        <x:v>低于此值优先检查点位、时段和排班</x:v>
      </x:c>
    </x:row>
    <x:row r="10">
      <x:c r="A10" s="24" t="str">
        <x:v>引流工资率偏高线</x:v>
      </x:c>
      <x:c r="B10" s="29" t="n">
        <x:v>0.08</x:v>
      </x:c>
      <x:c r="C10" s="24" t="str">
        <x:v>引流实际人工成本÷门店总营收</x:v>
      </x:c>
    </x:row>
    <x:row r="11">
      <x:c r="A11" s="24" t="str">
        <x:v>同时负责主题下限</x:v>
      </x:c>
      <x:c r="B11" s="27" t="n">
        <x:v>2.5</x:v>
      </x:c>
      <x:c r="C11" s="24" t="str">
        <x:v>低于且实际波次偏低，复位可能偏松</x:v>
      </x:c>
    </x:row>
    <x:row r="12">
      <x:c r="A12" s="24" t="str">
        <x:v>同时负责主题上限</x:v>
      </x:c>
      <x:c r="B12" s="27" t="n">
        <x:v>5</x:v>
      </x:c>
      <x:c r="C12" s="24" t="str">
        <x:v>高于则存在结构性偏紧风险</x:v>
      </x:c>
    </x:row>
    <x:row r="13">
      <x:c r="A13" s="24" t="str">
        <x:v>理论波次/人/时下限</x:v>
      </x:c>
      <x:c r="B13" s="27" t="n">
        <x:v>4</x:v>
      </x:c>
      <x:c r="C13" s="24" t="str">
        <x:v>只作结构参考</x:v>
      </x:c>
    </x:row>
    <x:row r="14">
      <x:c r="A14" s="24" t="str">
        <x:v>理论波次/人/时上限</x:v>
      </x:c>
      <x:c r="B14" s="27" t="n">
        <x:v>7.5</x:v>
      </x:c>
      <x:c r="C14" s="24" t="str">
        <x:v>只作结构参考</x:v>
      </x:c>
    </x:row>
    <x:row r="15">
      <x:c r="A15" s="24" t="str">
        <x:v>实际波次/人/时偏低线</x:v>
      </x:c>
      <x:c r="B15" s="27" t="n">
        <x:v>2</x:v>
      </x:c>
      <x:c r="C15" s="24" t="str">
        <x:v>按两天12小时计算</x:v>
      </x:c>
    </x:row>
    <x:row r="16">
      <x:c r="A16" s="24" t="str">
        <x:v>实际波次/人/时偏高线</x:v>
      </x:c>
      <x:c r="B16" s="27" t="n">
        <x:v>6</x:v>
      </x:c>
      <x:c r="C16" s="24" t="str">
        <x:v>按两天12小时计算</x:v>
      </x:c>
    </x:row>
    <x:row r="17">
      <x:c r="A17" s="24" t="str">
        <x:v>高峰利用率偏紧线</x:v>
      </x:c>
      <x:c r="B17" s="29" t="n">
        <x:v>1</x:v>
      </x:c>
      <x:c r="C17" s="24" t="str">
        <x:v>实际波次÷理论最大容量</x:v>
      </x:c>
    </x:row>
    <x:row r="18">
      <x:c r="A18" s="24" t="str">
        <x:v>标准时薪</x:v>
      </x:c>
      <x:c r="B18" s="27" t="n">
        <x:v>10</x:v>
      </x:c>
      <x:c r="C18" s="24" t="str">
        <x:v>横向比较、长期趋势统一使用</x:v>
      </x:c>
    </x:row>
    <x:row r="19">
      <x:c r="A19" s="24" t="str">
        <x:v>连续验证周数</x:v>
      </x:c>
      <x:c r="B19" s="27" t="n">
        <x:v>3</x:v>
      </x:c>
      <x:c r="C19" s="24" t="str">
        <x:v>禁止用单周数据直接淘汰人员</x:v>
      </x:c>
    </x:row>
    <x:row r="20">
      <x:c r="A20" s="24" t="str">
        <x:v>创建人=实际接待负责人</x:v>
      </x:c>
      <x:c r="B20" s="27" t="str">
        <x:v>待业务确认</x:v>
      </x:c>
      <x:c r="C20" s="24" t="str">
        <x:v>若创建人只是录单人，不得用于个人复位评价</x:v>
      </x:c>
    </x:row>
    <x:row r="21">
      <x:c r="A21" s="24" t="str">
        <x:v>轻度超配线</x:v>
      </x:c>
      <x:c r="B21" s="29" t="n">
        <x:v>0.1</x:v>
      </x:c>
      <x:c r="C21" s="24" t="str">
        <x:v>门店个人级升级版使用</x:v>
      </x:c>
    </x:row>
    <x:row r="22">
      <x:c r="A22" s="24" t="str">
        <x:v>严重超配线</x:v>
      </x:c>
      <x:c r="B22" s="29" t="n">
        <x:v>0.2</x:v>
      </x:c>
      <x:c r="C22" s="24" t="str">
        <x:v>门店个人级升级版使用</x:v>
      </x:c>
    </x:row>
    <x:row r="23">
      <x:c r="A23" s="24" t="str">
        <x:v>复位工资覆盖周末高峰</x:v>
      </x:c>
      <x:c r="B23" s="27" t="str">
        <x:v>待业务确认</x:v>
      </x:c>
      <x:c r="C23" s="24" t="str">
        <x:v>为“是”后，单波次人工成本才可用于经营判断</x:v>
      </x:c>
    </x:row>
    <x:row r="24">
      <x:c r="A24" s="25" t="str">
        <x:v>现有引流汇总已按目标日期过滤</x:v>
      </x:c>
      <x:c r="B24" s="28" t="str">
        <x:v>待业务确认</x:v>
      </x:c>
      <x:c r="C24" s="25" t="str">
        <x:v>为“是”表示工时、成本、成交额只含周六、周日及国家法定节假日</x:v>
      </x:c>
    </x:row>
    <x:row r="26">
      <x:c r="A26" s="33" t="str">
        <x:v>关键边界：引流销售型只看周六、周日和国家法定节假日的成交金额、实际人工成本、每1元工资产出及每小时成交；不使用门店类型利润参数。复位承接型看周末两天14:00-20:00的唯一账单波次、实际波次/人/时和高峰利用率。缺失值留空，只有业务确认确实为0时才填0。当前源表是门店级汇总，不能据此点名淘汰个人。</x:v>
      </x:c>
      <x:c r="B26" s="33"/>
      <x:c r="C26" s="33"/>
      <x:c r="D26" s="33"/>
      <x:c r="E26" s="33"/>
      <x:c r="F26" s="33"/>
    </x:row>
    <x:row r="27">
      <x:c r="A27" s="33"/>
      <x:c r="B27" s="33"/>
      <x:c r="C27" s="33"/>
      <x:c r="D27" s="33"/>
      <x:c r="E27" s="33"/>
      <x:c r="F27" s="33"/>
    </x:row>
    <x:row r="28">
      <x:c r="A28" s="33"/>
      <x:c r="B28" s="33"/>
      <x:c r="C28" s="33"/>
      <x:c r="D28" s="33"/>
      <x:c r="E28" s="33"/>
      <x:c r="F28" s="33"/>
    </x:row>
    <x:row r="29">
      <x:c r="A29" s="33"/>
      <x:c r="B29" s="33"/>
      <x:c r="C29" s="33"/>
      <x:c r="D29" s="33"/>
      <x:c r="E29" s="33"/>
      <x:c r="F29" s="33"/>
    </x:row>
    <x:row r="30">
      <x:c r="A30" s="33"/>
      <x:c r="B30" s="33"/>
      <x:c r="C30" s="33"/>
      <x:c r="D30" s="33"/>
      <x:c r="E30" s="33"/>
      <x:c r="F30" s="33"/>
    </x:row>
  </x:sheetData>
  <x:mergeCells>
    <x:mergeCell ref="A1:F1"/>
    <x:mergeCell ref="A26:F30"/>
  </x:mergeCells>
  <x:dataValidations count="3">
    <x:dataValidation type="list" sqref="B20">
      <x:formula1>"待业务确认,是,否"</x:formula1>
    </x:dataValidation>
    <x:dataValidation type="list" sqref="B23">
      <x:formula1>"待业务确认,是,否"</x:formula1>
    </x:dataValidation>
    <x:dataValidation type="list" sqref="B24">
      <x:formula1>"待业务确认,是,否"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15" hidden="0" customWidth="1"/>
    <x:col min="3" max="3" width="6.440000057220459" hidden="0" customWidth="1"/>
    <x:col min="4" max="4" width="11.109999656677246" hidden="0" customWidth="1"/>
    <x:col min="5" max="5" width="8.890000343322754" hidden="0" customWidth="1"/>
    <x:col min="6" max="6" width="8.890000343322754" hidden="0" customWidth="1"/>
    <x:col min="7" max="7" width="11.109999656677246" hidden="0" customWidth="1"/>
    <x:col min="8" max="8" width="11.109999656677246" hidden="0" customWidth="1"/>
    <x:col min="9" max="9" width="11.109999656677246" hidden="0" customWidth="1"/>
    <x:col min="10" max="10" width="12.779999732971191" hidden="0" customWidth="1"/>
    <x:col min="11" max="11" width="11.670000076293945" hidden="0" customWidth="1"/>
    <x:col min="12" max="12" width="8.890000343322754" hidden="0" customWidth="1"/>
    <x:col min="13" max="13" width="10" hidden="0" customWidth="1"/>
    <x:col min="14" max="14" width="8.890000343322754" hidden="0" customWidth="1"/>
    <x:col min="15" max="15" width="10" hidden="0" customWidth="1"/>
    <x:col min="16" max="16" width="8.890000343322754" hidden="0" customWidth="1"/>
    <x:col min="17" max="17" width="12.779999732971191" hidden="0" customWidth="1"/>
    <x:col min="18" max="18" width="10.5600004196167" hidden="0" customWidth="1"/>
    <x:col min="19" max="19" width="28.329999923706055" hidden="0" customWidth="1"/>
    <x:col min="20" max="20" width="32.220001220703125" hidden="0" customWidth="1"/>
  </x:cols>
  <x:sheetData>
    <x:row r="1" ht="30" customHeight="1">
      <x:c r="A1" s="4" t="str">
        <x:v>引流销售型汇总：周六、周日及国家法定节假日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37" t="str">
        <x:v>本页只比较实际人工成本与成交金额。核心口径：每1元工资产生成交=引流成交金额÷引流实际人工成本；工时、成本和成交金额必须只覆盖周六、周日及国家法定节假日。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  <x:c r="R2" s="37"/>
      <x:c r="S2" s="37"/>
      <x:c r="T2" s="37"/>
    </x:row>
    <x:row r="3" ht="34.5" customHeight="1">
      <x:c r="A3" s="16" t="str">
        <x:v>区域</x:v>
      </x:c>
      <x:c r="B3" s="17" t="str">
        <x:v>门店</x:v>
      </x:c>
      <x:c r="C3" s="17" t="str">
        <x:v>店型</x:v>
      </x:c>
      <x:c r="D3" s="17" t="str">
        <x:v>总营收</x:v>
      </x:c>
      <x:c r="E3" s="17" t="str">
        <x:v>引流人数</x:v>
      </x:c>
      <x:c r="F3" s="17" t="str">
        <x:v>引流工时</x:v>
      </x:c>
      <x:c r="G3" s="17" t="str">
        <x:v>标准人工成本</x:v>
      </x:c>
      <x:c r="H3" s="17" t="str">
        <x:v>实际人工成本</x:v>
      </x:c>
      <x:c r="I3" s="17" t="str">
        <x:v>成交金额</x:v>
      </x:c>
      <x:c r="J3" s="17" t="str">
        <x:v>每1元工资产生成交</x:v>
      </x:c>
      <x:c r="K3" s="17" t="str">
        <x:v>每小时成交金额</x:v>
      </x:c>
      <x:c r="L3" s="17" t="str">
        <x:v>到店人数</x:v>
      </x:c>
      <x:c r="M3" s="17" t="str">
        <x:v>到店成本</x:v>
      </x:c>
      <x:c r="N3" s="17" t="str">
        <x:v>办卡数</x:v>
      </x:c>
      <x:c r="O3" s="17" t="str">
        <x:v>办卡成本</x:v>
      </x:c>
      <x:c r="P3" s="17" t="str">
        <x:v>工资率</x:v>
      </x:c>
      <x:c r="Q3" s="17" t="str">
        <x:v>数据状态</x:v>
      </x:c>
      <x:c r="R3" s="17" t="str">
        <x:v>判断</x:v>
      </x:c>
      <x:c r="S3" s="17" t="str">
        <x:v>原因</x:v>
      </x:c>
      <x:c r="T3" s="18" t="str">
        <x:v>下周动作</x:v>
      </x:c>
    </x:row>
    <x:row r="4">
      <x:c r="A4" s="23" t="str">
        <x:f>'门店周数据录入'!A4</x:f>
        <x:v>3区</x:v>
      </x:c>
      <x:c r="B4" s="23" t="str">
        <x:f>'门店周数据录入'!B4</x:f>
        <x:v>中原万达</x:v>
      </x:c>
      <x:c r="C4" s="23" t="str">
        <x:f>'门店周数据录入'!C4</x:f>
        <x:v>B类</x:v>
      </x:c>
      <x:c r="D4" s="53" t="n">
        <x:f>'门店周数据录入'!E4</x:f>
        <x:v>24953</x:v>
      </x:c>
      <x:c r="E4" s="53" t="n">
        <x:f>'门店周数据录入'!F4</x:f>
        <x:v>7</x:v>
      </x:c>
      <x:c r="F4" s="53" t="n">
        <x:f>'门店周数据录入'!G4</x:f>
        <x:v>223.4</x:v>
      </x:c>
      <x:c r="G4" s="53" t="n">
        <x:f>'门店周数据录入'!H4</x:f>
        <x:v>2234</x:v>
      </x:c>
      <x:c r="H4" s="53" t="n">
        <x:f>'门店周数据录入'!M4</x:f>
        <x:v>2234</x:v>
      </x:c>
      <x:c r="I4" s="53" t="n">
        <x:f>'门店周数据录入'!O4</x:f>
        <x:v>24832</x:v>
      </x:c>
      <x:c r="J4" s="56" t="n">
        <x:f>IF(H4&gt;0,I4/H4,"")</x:f>
        <x:v>11.115487914055505</x:v>
      </x:c>
      <x:c r="K4" s="53" t="n">
        <x:f>IF(F4&gt;0,I4/F4,"")</x:f>
        <x:v>111.15487914055505</x:v>
      </x:c>
      <x:c r="L4" s="53" t="str">
        <x:f>IF('门店周数据录入'!N4="","",'门店周数据录入'!N4)</x:f>
      </x:c>
      <x:c r="M4" s="53" t="str">
        <x:f>IF(OR(L4="",L4&lt;=0),"",H4/L4)</x:f>
      </x:c>
      <x:c r="N4" s="53" t="str">
        <x:f>IF('门店周数据录入'!P4="","",'门店周数据录入'!P4)</x:f>
      </x:c>
      <x:c r="O4" s="53" t="str">
        <x:f>IF(OR(N4="",N4&lt;=0),"",H4/N4)</x:f>
      </x:c>
      <x:c r="P4" s="59" t="n">
        <x:f>IF(D4&gt;0,H4/D4,"")</x:f>
        <x:v>0.08952831322887028</x:v>
      </x:c>
      <x:c r="Q4" s="23" t="str">
        <x:f>IF(AND(I4&gt;0,OR(F4&lt;=0,H4&lt;=0)),"数据异常",IF(OR(F4&lt;=0,H4&lt;=0),"人工数据缺失",IF('规则参数'!$B$24&lt;&gt;"是","周期待确认",IF(OR(L4="",N4=""),"转化数据缺失","完整"))))</x:f>
        <x:v>周期待确认</x:v>
      </x:c>
      <x:c r="R4" s="23" t="str">
        <x:f>IF(OR(Q4="数据异常",Q4="人工数据缺失"),"待补数据",IF(OR(J4&lt;'规则参数'!$B$7,K4&lt;'规则参数'!$B$9),"引流低效",IF(OR(J4&lt;'规则参数'!$B$8,P4&gt;'规则参数'!$B$10),"引流观察","引流优秀")))</x:f>
        <x:v>引流观察</x:v>
      </x:c>
      <x:c r="S4" s="23" t="str">
        <x:f>IF(R4="待补数据","工时或成本口径不完整，先修正数据。",IF(J4&lt;'规则参数'!$B$7,"每1元工资换回的成交金额低于低效线。",IF(K4&lt;'规则参数'!$B$9,"每小时成交金额偏低，先检查点位和时段。",IF(P4&gt;'规则参数'!$B$10,"引流人工成本占门店营收偏高。","产出倍数与小时产出均达标。"))))</x:f>
        <x:v>引流人工成本占门店营收偏高。</x:v>
      </x:c>
      <x:c r="T4" s="23" t="str">
        <x:f>IF(R4="待补数据","补齐工时和实际成本后再判断。",IF(R4="引流低效","先减低效点位/时段工时，连续3周验证后再替换。",IF(R4="引流观察","调整点位与时段，下一周复盘。","保持或增加有效点位排班，并培养复制。")))</x:f>
        <x:v>调整点位与时段，下一周复盘。</x:v>
      </x:c>
    </x:row>
    <x:row r="5">
      <x:c r="A5" s="24" t="str">
        <x:f>'门店周数据录入'!A5</x:f>
        <x:v>3区</x:v>
      </x:c>
      <x:c r="B5" s="24" t="str">
        <x:f>'门店周数据录入'!B5</x:f>
        <x:v>二七万象城</x:v>
      </x:c>
      <x:c r="C5" s="24" t="str">
        <x:f>'门店周数据录入'!C5</x:f>
        <x:v>B类</x:v>
      </x:c>
      <x:c r="D5" s="54" t="n">
        <x:f>'门店周数据录入'!E5</x:f>
        <x:v>21827.18</x:v>
      </x:c>
      <x:c r="E5" s="54" t="n">
        <x:f>'门店周数据录入'!F5</x:f>
        <x:v>8</x:v>
      </x:c>
      <x:c r="F5" s="54" t="n">
        <x:f>'门店周数据录入'!G5</x:f>
        <x:v>80.5</x:v>
      </x:c>
      <x:c r="G5" s="54" t="n">
        <x:f>'门店周数据录入'!H5</x:f>
        <x:v>805</x:v>
      </x:c>
      <x:c r="H5" s="54" t="n">
        <x:f>'门店周数据录入'!M5</x:f>
        <x:v>805</x:v>
      </x:c>
      <x:c r="I5" s="54" t="n">
        <x:f>'门店周数据录入'!O5</x:f>
        <x:v>7806.99</x:v>
      </x:c>
      <x:c r="J5" s="57" t="n">
        <x:f>IF(H5&gt;0,I5/H5,"")</x:f>
        <x:v>9.698124223602484</x:v>
      </x:c>
      <x:c r="K5" s="54" t="n">
        <x:f>IF(F5&gt;0,I5/F5,"")</x:f>
        <x:v>96.98124223602484</x:v>
      </x:c>
      <x:c r="L5" s="54" t="str">
        <x:f>IF('门店周数据录入'!N5="","",'门店周数据录入'!N5)</x:f>
      </x:c>
      <x:c r="M5" s="54" t="str">
        <x:f>IF(OR(L5="",L5&lt;=0),"",H5/L5)</x:f>
      </x:c>
      <x:c r="N5" s="54" t="str">
        <x:f>IF('门店周数据录入'!P5="","",'门店周数据录入'!P5)</x:f>
      </x:c>
      <x:c r="O5" s="54" t="str">
        <x:f>IF(OR(N5="",N5&lt;=0),"",H5/N5)</x:f>
      </x:c>
      <x:c r="P5" s="60" t="n">
        <x:f>IF(D5&gt;0,H5/D5,"")</x:f>
        <x:v>0.036880623149669355</x:v>
      </x:c>
      <x:c r="Q5" s="24" t="str">
        <x:f>IF(AND(I5&gt;0,OR(F5&lt;=0,H5&lt;=0)),"数据异常",IF(OR(F5&lt;=0,H5&lt;=0),"人工数据缺失",IF('规则参数'!$B$24&lt;&gt;"是","周期待确认",IF(OR(L5="",N5=""),"转化数据缺失","完整"))))</x:f>
        <x:v>周期待确认</x:v>
      </x:c>
      <x:c r="R5" s="24" t="str">
        <x:f>IF(OR(Q5="数据异常",Q5="人工数据缺失"),"待补数据",IF(OR(J5&lt;'规则参数'!$B$7,K5&lt;'规则参数'!$B$9),"引流低效",IF(OR(J5&lt;'规则参数'!$B$8,P5&gt;'规则参数'!$B$10),"引流观察","引流优秀")))</x:f>
        <x:v>引流低效</x:v>
      </x:c>
      <x:c r="S5" s="24" t="str">
        <x:f>IF(R5="待补数据","工时或成本口径不完整，先修正数据。",IF(J5&lt;'规则参数'!$B$7,"每1元工资换回的成交金额低于低效线。",IF(K5&lt;'规则参数'!$B$9,"每小时成交金额偏低，先检查点位和时段。",IF(P5&gt;'规则参数'!$B$10,"引流人工成本占门店营收偏高。","产出倍数与小时产出均达标。"))))</x:f>
        <x:v>每小时成交金额偏低，先检查点位和时段。</x:v>
      </x:c>
      <x:c r="T5" s="24" t="str">
        <x:f>IF(R5="待补数据","补齐工时和实际成本后再判断。",IF(R5="引流低效","先减低效点位/时段工时，连续3周验证后再替换。",IF(R5="引流观察","调整点位与时段，下一周复盘。","保持或增加有效点位排班，并培养复制。")))</x:f>
        <x:v>先减低效点位/时段工时，连续3周验证后再替换。</x:v>
      </x:c>
    </x:row>
    <x:row r="6">
      <x:c r="A6" s="24" t="str">
        <x:f>'门店周数据录入'!A6</x:f>
        <x:v>1区</x:v>
      </x:c>
      <x:c r="B6" s="24" t="str">
        <x:f>'门店周数据录入'!B6</x:f>
        <x:v>信阳万达</x:v>
      </x:c>
      <x:c r="C6" s="24" t="str">
        <x:f>'门店周数据录入'!C6</x:f>
        <x:v>C类</x:v>
      </x:c>
      <x:c r="D6" s="54" t="n">
        <x:f>'门店周数据录入'!E6</x:f>
        <x:v>9262.45</x:v>
      </x:c>
      <x:c r="E6" s="54" t="n">
        <x:f>'门店周数据录入'!F6</x:f>
        <x:v>2</x:v>
      </x:c>
      <x:c r="F6" s="54" t="n">
        <x:f>'门店周数据录入'!G6</x:f>
        <x:v>33.7</x:v>
      </x:c>
      <x:c r="G6" s="54" t="n">
        <x:f>'门店周数据录入'!H6</x:f>
        <x:v>337</x:v>
      </x:c>
      <x:c r="H6" s="54" t="n">
        <x:f>'门店周数据录入'!M6</x:f>
        <x:v>337</x:v>
      </x:c>
      <x:c r="I6" s="54" t="n">
        <x:f>'门店周数据录入'!O6</x:f>
        <x:v>2389</x:v>
      </x:c>
      <x:c r="J6" s="57" t="n">
        <x:f>IF(H6&gt;0,I6/H6,"")</x:f>
        <x:v>7.089020771513353</x:v>
      </x:c>
      <x:c r="K6" s="54" t="n">
        <x:f>IF(F6&gt;0,I6/F6,"")</x:f>
        <x:v>70.89020771513353</x:v>
      </x:c>
      <x:c r="L6" s="54" t="str">
        <x:f>IF('门店周数据录入'!N6="","",'门店周数据录入'!N6)</x:f>
      </x:c>
      <x:c r="M6" s="54" t="str">
        <x:f>IF(OR(L6="",L6&lt;=0),"",H6/L6)</x:f>
      </x:c>
      <x:c r="N6" s="54" t="str">
        <x:f>IF('门店周数据录入'!P6="","",'门店周数据录入'!P6)</x:f>
      </x:c>
      <x:c r="O6" s="54" t="str">
        <x:f>IF(OR(N6="",N6&lt;=0),"",H6/N6)</x:f>
      </x:c>
      <x:c r="P6" s="60" t="n">
        <x:f>IF(D6&gt;0,H6/D6,"")</x:f>
        <x:v>0.036383462258905576</x:v>
      </x:c>
      <x:c r="Q6" s="24" t="str">
        <x:f>IF(AND(I6&gt;0,OR(F6&lt;=0,H6&lt;=0)),"数据异常",IF(OR(F6&lt;=0,H6&lt;=0),"人工数据缺失",IF('规则参数'!$B$24&lt;&gt;"是","周期待确认",IF(OR(L6="",N6=""),"转化数据缺失","完整"))))</x:f>
        <x:v>周期待确认</x:v>
      </x:c>
      <x:c r="R6" s="24" t="str">
        <x:f>IF(OR(Q6="数据异常",Q6="人工数据缺失"),"待补数据",IF(OR(J6&lt;'规则参数'!$B$7,K6&lt;'规则参数'!$B$9),"引流低效",IF(OR(J6&lt;'规则参数'!$B$8,P6&gt;'规则参数'!$B$10),"引流观察","引流优秀")))</x:f>
        <x:v>引流低效</x:v>
      </x:c>
      <x:c r="S6" s="24" t="str">
        <x:f>IF(R6="待补数据","工时或成本口径不完整，先修正数据。",IF(J6&lt;'规则参数'!$B$7,"每1元工资换回的成交金额低于低效线。",IF(K6&lt;'规则参数'!$B$9,"每小时成交金额偏低，先检查点位和时段。",IF(P6&gt;'规则参数'!$B$10,"引流人工成本占门店营收偏高。","产出倍数与小时产出均达标。"))))</x:f>
        <x:v>每1元工资换回的成交金额低于低效线。</x:v>
      </x:c>
      <x:c r="T6" s="24" t="str">
        <x:f>IF(R6="待补数据","补齐工时和实际成本后再判断。",IF(R6="引流低效","先减低效点位/时段工时，连续3周验证后再替换。",IF(R6="引流观察","调整点位与时段，下一周复盘。","保持或增加有效点位排班，并培养复制。")))</x:f>
        <x:v>先减低效点位/时段工时，连续3周验证后再替换。</x:v>
      </x:c>
    </x:row>
    <x:row r="7">
      <x:c r="A7" s="24" t="str">
        <x:f>'门店周数据录入'!A7</x:f>
        <x:v>1区</x:v>
      </x:c>
      <x:c r="B7" s="24" t="str">
        <x:f>'门店周数据录入'!B7</x:f>
        <x:v>南阳万达</x:v>
      </x:c>
      <x:c r="C7" s="24" t="str">
        <x:f>'门店周数据录入'!C7</x:f>
        <x:v>B类</x:v>
      </x:c>
      <x:c r="D7" s="54" t="n">
        <x:f>'门店周数据录入'!E7</x:f>
        <x:v>21391</x:v>
      </x:c>
      <x:c r="E7" s="54" t="n">
        <x:f>'门店周数据录入'!F7</x:f>
        <x:v>5</x:v>
      </x:c>
      <x:c r="F7" s="54" t="n">
        <x:f>'门店周数据录入'!G7</x:f>
        <x:v>116.4</x:v>
      </x:c>
      <x:c r="G7" s="54" t="n">
        <x:f>'门店周数据录入'!H7</x:f>
        <x:v>1164</x:v>
      </x:c>
      <x:c r="H7" s="54" t="n">
        <x:f>'门店周数据录入'!M7</x:f>
        <x:v>1164</x:v>
      </x:c>
      <x:c r="I7" s="54" t="n">
        <x:f>'门店周数据录入'!O7</x:f>
        <x:v>15615</x:v>
      </x:c>
      <x:c r="J7" s="57" t="n">
        <x:f>IF(H7&gt;0,I7/H7,"")</x:f>
        <x:v>13.414948453608247</x:v>
      </x:c>
      <x:c r="K7" s="54" t="n">
        <x:f>IF(F7&gt;0,I7/F7,"")</x:f>
        <x:v>134.14948453608247</x:v>
      </x:c>
      <x:c r="L7" s="54" t="str">
        <x:f>IF('门店周数据录入'!N7="","",'门店周数据录入'!N7)</x:f>
      </x:c>
      <x:c r="M7" s="54" t="str">
        <x:f>IF(OR(L7="",L7&lt;=0),"",H7/L7)</x:f>
      </x:c>
      <x:c r="N7" s="54" t="str">
        <x:f>IF('门店周数据录入'!P7="","",'门店周数据录入'!P7)</x:f>
      </x:c>
      <x:c r="O7" s="54" t="str">
        <x:f>IF(OR(N7="",N7&lt;=0),"",H7/N7)</x:f>
      </x:c>
      <x:c r="P7" s="60" t="n">
        <x:f>IF(D7&gt;0,H7/D7,"")</x:f>
        <x:v>0.054415408349305784</x:v>
      </x:c>
      <x:c r="Q7" s="24" t="str">
        <x:f>IF(AND(I7&gt;0,OR(F7&lt;=0,H7&lt;=0)),"数据异常",IF(OR(F7&lt;=0,H7&lt;=0),"人工数据缺失",IF('规则参数'!$B$24&lt;&gt;"是","周期待确认",IF(OR(L7="",N7=""),"转化数据缺失","完整"))))</x:f>
        <x:v>周期待确认</x:v>
      </x:c>
      <x:c r="R7" s="24" t="str">
        <x:f>IF(OR(Q7="数据异常",Q7="人工数据缺失"),"待补数据",IF(OR(J7&lt;'规则参数'!$B$7,K7&lt;'规则参数'!$B$9),"引流低效",IF(OR(J7&lt;'规则参数'!$B$8,P7&gt;'规则参数'!$B$10),"引流观察","引流优秀")))</x:f>
        <x:v>引流优秀</x:v>
      </x:c>
      <x:c r="S7" s="24" t="str">
        <x:f>IF(R7="待补数据","工时或成本口径不完整，先修正数据。",IF(J7&lt;'规则参数'!$B$7,"每1元工资换回的成交金额低于低效线。",IF(K7&lt;'规则参数'!$B$9,"每小时成交金额偏低，先检查点位和时段。",IF(P7&gt;'规则参数'!$B$10,"引流人工成本占门店营收偏高。","产出倍数与小时产出均达标。"))))</x:f>
        <x:v>产出倍数与小时产出均达标。</x:v>
      </x:c>
      <x:c r="T7" s="24" t="str">
        <x:f>IF(R7="待补数据","补齐工时和实际成本后再判断。",IF(R7="引流低效","先减低效点位/时段工时，连续3周验证后再替换。",IF(R7="引流观察","调整点位与时段，下一周复盘。","保持或增加有效点位排班，并培养复制。")))</x:f>
        <x:v>保持或增加有效点位排班，并培养复制。</x:v>
      </x:c>
    </x:row>
    <x:row r="8">
      <x:c r="A8" s="24" t="str">
        <x:f>'门店周数据录入'!A8</x:f>
        <x:v>1区</x:v>
      </x:c>
      <x:c r="B8" s="24" t="str">
        <x:f>'门店周数据录入'!B8</x:f>
        <x:v>南阳吾悦</x:v>
      </x:c>
      <x:c r="C8" s="24" t="str">
        <x:f>'门店周数据录入'!C8</x:f>
        <x:v>A类</x:v>
      </x:c>
      <x:c r="D8" s="54" t="n">
        <x:f>'门店周数据录入'!E8</x:f>
        <x:v>25424</x:v>
      </x:c>
      <x:c r="E8" s="54" t="n">
        <x:f>'门店周数据录入'!F8</x:f>
        <x:v>5</x:v>
      </x:c>
      <x:c r="F8" s="54" t="n">
        <x:f>'门店周数据录入'!G8</x:f>
        <x:v>48.9</x:v>
      </x:c>
      <x:c r="G8" s="54" t="n">
        <x:f>'门店周数据录入'!H8</x:f>
        <x:v>489</x:v>
      </x:c>
      <x:c r="H8" s="54" t="n">
        <x:f>'门店周数据录入'!M8</x:f>
        <x:v>489</x:v>
      </x:c>
      <x:c r="I8" s="54" t="n">
        <x:f>'门店周数据录入'!O8</x:f>
        <x:v>9656</x:v>
      </x:c>
      <x:c r="J8" s="57" t="n">
        <x:f>IF(H8&gt;0,I8/H8,"")</x:f>
        <x:v>19.74642126789366</x:v>
      </x:c>
      <x:c r="K8" s="54" t="n">
        <x:f>IF(F8&gt;0,I8/F8,"")</x:f>
        <x:v>197.4642126789366</x:v>
      </x:c>
      <x:c r="L8" s="54" t="str">
        <x:f>IF('门店周数据录入'!N8="","",'门店周数据录入'!N8)</x:f>
      </x:c>
      <x:c r="M8" s="54" t="str">
        <x:f>IF(OR(L8="",L8&lt;=0),"",H8/L8)</x:f>
      </x:c>
      <x:c r="N8" s="54" t="str">
        <x:f>IF('门店周数据录入'!P8="","",'门店周数据录入'!P8)</x:f>
      </x:c>
      <x:c r="O8" s="54" t="str">
        <x:f>IF(OR(N8="",N8&lt;=0),"",H8/N8)</x:f>
      </x:c>
      <x:c r="P8" s="60" t="n">
        <x:f>IF(D8&gt;0,H8/D8,"")</x:f>
        <x:v>0.01923379483952171</x:v>
      </x:c>
      <x:c r="Q8" s="24" t="str">
        <x:f>IF(AND(I8&gt;0,OR(F8&lt;=0,H8&lt;=0)),"数据异常",IF(OR(F8&lt;=0,H8&lt;=0),"人工数据缺失",IF('规则参数'!$B$24&lt;&gt;"是","周期待确认",IF(OR(L8="",N8=""),"转化数据缺失","完整"))))</x:f>
        <x:v>周期待确认</x:v>
      </x:c>
      <x:c r="R8" s="24" t="str">
        <x:f>IF(OR(Q8="数据异常",Q8="人工数据缺失"),"待补数据",IF(OR(J8&lt;'规则参数'!$B$7,K8&lt;'规则参数'!$B$9),"引流低效",IF(OR(J8&lt;'规则参数'!$B$8,P8&gt;'规则参数'!$B$10),"引流观察","引流优秀")))</x:f>
        <x:v>引流优秀</x:v>
      </x:c>
      <x:c r="S8" s="24" t="str">
        <x:f>IF(R8="待补数据","工时或成本口径不完整，先修正数据。",IF(J8&lt;'规则参数'!$B$7,"每1元工资换回的成交金额低于低效线。",IF(K8&lt;'规则参数'!$B$9,"每小时成交金额偏低，先检查点位和时段。",IF(P8&gt;'规则参数'!$B$10,"引流人工成本占门店营收偏高。","产出倍数与小时产出均达标。"))))</x:f>
        <x:v>产出倍数与小时产出均达标。</x:v>
      </x:c>
      <x:c r="T8" s="24" t="str">
        <x:f>IF(R8="待补数据","补齐工时和实际成本后再判断。",IF(R8="引流低效","先减低效点位/时段工时，连续3周验证后再替换。",IF(R8="引流观察","调整点位与时段，下一周复盘。","保持或增加有效点位排班，并培养复制。")))</x:f>
        <x:v>保持或增加有效点位排班，并培养复制。</x:v>
      </x:c>
    </x:row>
    <x:row r="9">
      <x:c r="A9" s="24" t="str">
        <x:f>'门店周数据录入'!A9</x:f>
        <x:v>2区</x:v>
      </x:c>
      <x:c r="B9" s="24" t="str">
        <x:f>'门店周数据录入'!B9</x:f>
        <x:v>周口万达</x:v>
      </x:c>
      <x:c r="C9" s="24" t="str">
        <x:f>'门店周数据录入'!C9</x:f>
        <x:v>C类</x:v>
      </x:c>
      <x:c r="D9" s="54" t="n">
        <x:f>'门店周数据录入'!E9</x:f>
        <x:v>12342.4</x:v>
      </x:c>
      <x:c r="E9" s="54" t="n">
        <x:f>'门店周数据录入'!F9</x:f>
        <x:v>4</x:v>
      </x:c>
      <x:c r="F9" s="54" t="n">
        <x:f>'门店周数据录入'!G9</x:f>
        <x:v>96.1</x:v>
      </x:c>
      <x:c r="G9" s="54" t="n">
        <x:f>'门店周数据录入'!H9</x:f>
        <x:v>961</x:v>
      </x:c>
      <x:c r="H9" s="54" t="n">
        <x:f>'门店周数据录入'!M9</x:f>
        <x:v>961</x:v>
      </x:c>
      <x:c r="I9" s="54" t="n">
        <x:f>'门店周数据录入'!O9</x:f>
        <x:v>8151.4</x:v>
      </x:c>
      <x:c r="J9" s="57" t="n">
        <x:f>IF(H9&gt;0,I9/H9,"")</x:f>
        <x:v>8.482206035379813</x:v>
      </x:c>
      <x:c r="K9" s="54" t="n">
        <x:f>IF(F9&gt;0,I9/F9,"")</x:f>
        <x:v>84.82206035379812</x:v>
      </x:c>
      <x:c r="L9" s="54" t="str">
        <x:f>IF('门店周数据录入'!N9="","",'门店周数据录入'!N9)</x:f>
      </x:c>
      <x:c r="M9" s="54" t="str">
        <x:f>IF(OR(L9="",L9&lt;=0),"",H9/L9)</x:f>
      </x:c>
      <x:c r="N9" s="54" t="str">
        <x:f>IF('门店周数据录入'!P9="","",'门店周数据录入'!P9)</x:f>
      </x:c>
      <x:c r="O9" s="54" t="str">
        <x:f>IF(OR(N9="",N9&lt;=0),"",H9/N9)</x:f>
      </x:c>
      <x:c r="P9" s="60" t="n">
        <x:f>IF(D9&gt;0,H9/D9,"")</x:f>
        <x:v>0.07786168006222453</x:v>
      </x:c>
      <x:c r="Q9" s="24" t="str">
        <x:f>IF(AND(I9&gt;0,OR(F9&lt;=0,H9&lt;=0)),"数据异常",IF(OR(F9&lt;=0,H9&lt;=0),"人工数据缺失",IF('规则参数'!$B$24&lt;&gt;"是","周期待确认",IF(OR(L9="",N9=""),"转化数据缺失","完整"))))</x:f>
        <x:v>周期待确认</x:v>
      </x:c>
      <x:c r="R9" s="24" t="str">
        <x:f>IF(OR(Q9="数据异常",Q9="人工数据缺失"),"待补数据",IF(OR(J9&lt;'规则参数'!$B$7,K9&lt;'规则参数'!$B$9),"引流低效",IF(OR(J9&lt;'规则参数'!$B$8,P9&gt;'规则参数'!$B$10),"引流观察","引流优秀")))</x:f>
        <x:v>引流低效</x:v>
      </x:c>
      <x:c r="S9" s="24" t="str">
        <x:f>IF(R9="待补数据","工时或成本口径不完整，先修正数据。",IF(J9&lt;'规则参数'!$B$7,"每1元工资换回的成交金额低于低效线。",IF(K9&lt;'规则参数'!$B$9,"每小时成交金额偏低，先检查点位和时段。",IF(P9&gt;'规则参数'!$B$10,"引流人工成本占门店营收偏高。","产出倍数与小时产出均达标。"))))</x:f>
        <x:v>每小时成交金额偏低，先检查点位和时段。</x:v>
      </x:c>
      <x:c r="T9" s="24" t="str">
        <x:f>IF(R9="待补数据","补齐工时和实际成本后再判断。",IF(R9="引流低效","先减低效点位/时段工时，连续3周验证后再替换。",IF(R9="引流观察","调整点位与时段，下一周复盘。","保持或增加有效点位排班，并培养复制。")))</x:f>
        <x:v>先减低效点位/时段工时，连续3周验证后再替换。</x:v>
      </x:c>
    </x:row>
    <x:row r="10">
      <x:c r="A10" s="24" t="str">
        <x:f>'门店周数据录入'!A10</x:f>
        <x:v>1区</x:v>
      </x:c>
      <x:c r="B10" s="24" t="str">
        <x:f>'门店周数据录入'!B10</x:f>
        <x:v>商丘万达</x:v>
      </x:c>
      <x:c r="C10" s="24" t="str">
        <x:f>'门店周数据录入'!C10</x:f>
        <x:v>C类</x:v>
      </x:c>
      <x:c r="D10" s="54" t="n">
        <x:f>'门店周数据录入'!E10</x:f>
        <x:v>16572.05</x:v>
      </x:c>
      <x:c r="E10" s="54" t="n">
        <x:f>'门店周数据录入'!F10</x:f>
        <x:v>5</x:v>
      </x:c>
      <x:c r="F10" s="54" t="n">
        <x:f>'门店周数据录入'!G10</x:f>
        <x:v>190.4</x:v>
      </x:c>
      <x:c r="G10" s="54" t="n">
        <x:f>'门店周数据录入'!H10</x:f>
        <x:v>1904</x:v>
      </x:c>
      <x:c r="H10" s="54" t="n">
        <x:f>'门店周数据录入'!M10</x:f>
        <x:v>1904</x:v>
      </x:c>
      <x:c r="I10" s="54" t="n">
        <x:f>'门店周数据录入'!O10</x:f>
        <x:v>23128.45</x:v>
      </x:c>
      <x:c r="J10" s="57" t="n">
        <x:f>IF(H10&gt;0,I10/H10,"")</x:f>
        <x:v>12.147295168067227</x:v>
      </x:c>
      <x:c r="K10" s="54" t="n">
        <x:f>IF(F10&gt;0,I10/F10,"")</x:f>
        <x:v>121.47295168067227</x:v>
      </x:c>
      <x:c r="L10" s="54" t="str">
        <x:f>IF('门店周数据录入'!N10="","",'门店周数据录入'!N10)</x:f>
      </x:c>
      <x:c r="M10" s="54" t="str">
        <x:f>IF(OR(L10="",L10&lt;=0),"",H10/L10)</x:f>
      </x:c>
      <x:c r="N10" s="54" t="str">
        <x:f>IF('门店周数据录入'!P10="","",'门店周数据录入'!P10)</x:f>
      </x:c>
      <x:c r="O10" s="54" t="str">
        <x:f>IF(OR(N10="",N10&lt;=0),"",H10/N10)</x:f>
      </x:c>
      <x:c r="P10" s="60" t="n">
        <x:f>IF(D10&gt;0,H10/D10,"")</x:f>
        <x:v>0.1148922432650155</x:v>
      </x:c>
      <x:c r="Q10" s="24" t="str">
        <x:f>IF(AND(I10&gt;0,OR(F10&lt;=0,H10&lt;=0)),"数据异常",IF(OR(F10&lt;=0,H10&lt;=0),"人工数据缺失",IF('规则参数'!$B$24&lt;&gt;"是","周期待确认",IF(OR(L10="",N10=""),"转化数据缺失","完整"))))</x:f>
        <x:v>周期待确认</x:v>
      </x:c>
      <x:c r="R10" s="24" t="str">
        <x:f>IF(OR(Q10="数据异常",Q10="人工数据缺失"),"待补数据",IF(OR(J10&lt;'规则参数'!$B$7,K10&lt;'规则参数'!$B$9),"引流低效",IF(OR(J10&lt;'规则参数'!$B$8,P10&gt;'规则参数'!$B$10),"引流观察","引流优秀")))</x:f>
        <x:v>引流观察</x:v>
      </x:c>
      <x:c r="S10" s="24" t="str">
        <x:f>IF(R10="待补数据","工时或成本口径不完整，先修正数据。",IF(J10&lt;'规则参数'!$B$7,"每1元工资换回的成交金额低于低效线。",IF(K10&lt;'规则参数'!$B$9,"每小时成交金额偏低，先检查点位和时段。",IF(P10&gt;'规则参数'!$B$10,"引流人工成本占门店营收偏高。","产出倍数与小时产出均达标。"))))</x:f>
        <x:v>引流人工成本占门店营收偏高。</x:v>
      </x:c>
      <x:c r="T10" s="24" t="str">
        <x:f>IF(R10="待补数据","补齐工时和实际成本后再判断。",IF(R10="引流低效","先减低效点位/时段工时，连续3周验证后再替换。",IF(R10="引流观察","调整点位与时段，下一周复盘。","保持或增加有效点位排班，并培养复制。")))</x:f>
        <x:v>调整点位与时段，下一周复盘。</x:v>
      </x:c>
    </x:row>
    <x:row r="11">
      <x:c r="A11" s="24" t="str">
        <x:f>'门店周数据录入'!A11</x:f>
        <x:v>3区</x:v>
      </x:c>
      <x:c r="B11" s="24" t="str">
        <x:f>'门店周数据录入'!B11</x:f>
        <x:v>安阳万达</x:v>
      </x:c>
      <x:c r="C11" s="24" t="str">
        <x:f>'门店周数据录入'!C11</x:f>
        <x:v>C类</x:v>
      </x:c>
      <x:c r="D11" s="54" t="n">
        <x:f>'门店周数据录入'!E11</x:f>
        <x:v>6444</x:v>
      </x:c>
      <x:c r="E11" s="54" t="n">
        <x:f>'门店周数据录入'!F11</x:f>
        <x:v>5</x:v>
      </x:c>
      <x:c r="F11" s="54" t="n">
        <x:f>'门店周数据录入'!G11</x:f>
        <x:v>50.9</x:v>
      </x:c>
      <x:c r="G11" s="54" t="n">
        <x:f>'门店周数据录入'!H11</x:f>
        <x:v>509</x:v>
      </x:c>
      <x:c r="H11" s="54" t="n">
        <x:f>'门店周数据录入'!M11</x:f>
        <x:v>509</x:v>
      </x:c>
      <x:c r="I11" s="54" t="n">
        <x:f>'门店周数据录入'!O11</x:f>
        <x:v>7375</x:v>
      </x:c>
      <x:c r="J11" s="57" t="n">
        <x:f>IF(H11&gt;0,I11/H11,"")</x:f>
        <x:v>14.489194499017682</x:v>
      </x:c>
      <x:c r="K11" s="54" t="n">
        <x:f>IF(F11&gt;0,I11/F11,"")</x:f>
        <x:v>144.89194499017682</x:v>
      </x:c>
      <x:c r="L11" s="54" t="str">
        <x:f>IF('门店周数据录入'!N11="","",'门店周数据录入'!N11)</x:f>
      </x:c>
      <x:c r="M11" s="54" t="str">
        <x:f>IF(OR(L11="",L11&lt;=0),"",H11/L11)</x:f>
      </x:c>
      <x:c r="N11" s="54" t="str">
        <x:f>IF('门店周数据录入'!P11="","",'门店周数据录入'!P11)</x:f>
      </x:c>
      <x:c r="O11" s="54" t="str">
        <x:f>IF(OR(N11="",N11&lt;=0),"",H11/N11)</x:f>
      </x:c>
      <x:c r="P11" s="60" t="n">
        <x:f>IF(D11&gt;0,H11/D11,"")</x:f>
        <x:v>0.07898820608317815</x:v>
      </x:c>
      <x:c r="Q11" s="24" t="str">
        <x:f>IF(AND(I11&gt;0,OR(F11&lt;=0,H11&lt;=0)),"数据异常",IF(OR(F11&lt;=0,H11&lt;=0),"人工数据缺失",IF('规则参数'!$B$24&lt;&gt;"是","周期待确认",IF(OR(L11="",N11=""),"转化数据缺失","完整"))))</x:f>
        <x:v>周期待确认</x:v>
      </x:c>
      <x:c r="R11" s="24" t="str">
        <x:f>IF(OR(Q11="数据异常",Q11="人工数据缺失"),"待补数据",IF(OR(J11&lt;'规则参数'!$B$7,K11&lt;'规则参数'!$B$9),"引流低效",IF(OR(J11&lt;'规则参数'!$B$8,P11&gt;'规则参数'!$B$10),"引流观察","引流优秀")))</x:f>
        <x:v>引流优秀</x:v>
      </x:c>
      <x:c r="S11" s="24" t="str">
        <x:f>IF(R11="待补数据","工时或成本口径不完整，先修正数据。",IF(J11&lt;'规则参数'!$B$7,"每1元工资换回的成交金额低于低效线。",IF(K11&lt;'规则参数'!$B$9,"每小时成交金额偏低，先检查点位和时段。",IF(P11&gt;'规则参数'!$B$10,"引流人工成本占门店营收偏高。","产出倍数与小时产出均达标。"))))</x:f>
        <x:v>产出倍数与小时产出均达标。</x:v>
      </x:c>
      <x:c r="T11" s="24" t="str">
        <x:f>IF(R11="待补数据","补齐工时和实际成本后再判断。",IF(R11="引流低效","先减低效点位/时段工时，连续3周验证后再替换。",IF(R11="引流观察","调整点位与时段，下一周复盘。","保持或增加有效点位排班，并培养复制。")))</x:f>
        <x:v>保持或增加有效点位排班，并培养复制。</x:v>
      </x:c>
    </x:row>
    <x:row r="12">
      <x:c r="A12" s="24" t="str">
        <x:f>'门店周数据录入'!A12</x:f>
        <x:v>3区</x:v>
      </x:c>
      <x:c r="B12" s="24" t="str">
        <x:f>'门店周数据录入'!B12</x:f>
        <x:v>开封万达</x:v>
      </x:c>
      <x:c r="C12" s="24" t="str">
        <x:f>'门店周数据录入'!C12</x:f>
        <x:v>A类</x:v>
      </x:c>
      <x:c r="D12" s="54" t="n">
        <x:f>'门店周数据录入'!E12</x:f>
        <x:v>22735</x:v>
      </x:c>
      <x:c r="E12" s="54" t="n">
        <x:f>'门店周数据录入'!F12</x:f>
        <x:v>7</x:v>
      </x:c>
      <x:c r="F12" s="54" t="n">
        <x:f>'门店周数据录入'!G12</x:f>
        <x:v>90.3</x:v>
      </x:c>
      <x:c r="G12" s="54" t="n">
        <x:f>'门店周数据录入'!H12</x:f>
        <x:v>903</x:v>
      </x:c>
      <x:c r="H12" s="54" t="n">
        <x:f>'门店周数据录入'!M12</x:f>
        <x:v>903</x:v>
      </x:c>
      <x:c r="I12" s="54" t="n">
        <x:f>'门店周数据录入'!O12</x:f>
        <x:v>21109</x:v>
      </x:c>
      <x:c r="J12" s="57" t="n">
        <x:f>IF(H12&gt;0,I12/H12,"")</x:f>
        <x:v>23.376522702104097</x:v>
      </x:c>
      <x:c r="K12" s="54" t="n">
        <x:f>IF(F12&gt;0,I12/F12,"")</x:f>
        <x:v>233.76522702104097</x:v>
      </x:c>
      <x:c r="L12" s="54" t="str">
        <x:f>IF('门店周数据录入'!N12="","",'门店周数据录入'!N12)</x:f>
      </x:c>
      <x:c r="M12" s="54" t="str">
        <x:f>IF(OR(L12="",L12&lt;=0),"",H12/L12)</x:f>
      </x:c>
      <x:c r="N12" s="54" t="str">
        <x:f>IF('门店周数据录入'!P12="","",'门店周数据录入'!P12)</x:f>
      </x:c>
      <x:c r="O12" s="54" t="str">
        <x:f>IF(OR(N12="",N12&lt;=0),"",H12/N12)</x:f>
      </x:c>
      <x:c r="P12" s="60" t="n">
        <x:f>IF(D12&gt;0,H12/D12,"")</x:f>
        <x:v>0.03971849571145811</x:v>
      </x:c>
      <x:c r="Q12" s="24" t="str">
        <x:f>IF(AND(I12&gt;0,OR(F12&lt;=0,H12&lt;=0)),"数据异常",IF(OR(F12&lt;=0,H12&lt;=0),"人工数据缺失",IF('规则参数'!$B$24&lt;&gt;"是","周期待确认",IF(OR(L12="",N12=""),"转化数据缺失","完整"))))</x:f>
        <x:v>周期待确认</x:v>
      </x:c>
      <x:c r="R12" s="24" t="str">
        <x:f>IF(OR(Q12="数据异常",Q12="人工数据缺失"),"待补数据",IF(OR(J12&lt;'规则参数'!$B$7,K12&lt;'规则参数'!$B$9),"引流低效",IF(OR(J12&lt;'规则参数'!$B$8,P12&gt;'规则参数'!$B$10),"引流观察","引流优秀")))</x:f>
        <x:v>引流优秀</x:v>
      </x:c>
      <x:c r="S12" s="24" t="str">
        <x:f>IF(R12="待补数据","工时或成本口径不完整，先修正数据。",IF(J12&lt;'规则参数'!$B$7,"每1元工资换回的成交金额低于低效线。",IF(K12&lt;'规则参数'!$B$9,"每小时成交金额偏低，先检查点位和时段。",IF(P12&gt;'规则参数'!$B$10,"引流人工成本占门店营收偏高。","产出倍数与小时产出均达标。"))))</x:f>
        <x:v>产出倍数与小时产出均达标。</x:v>
      </x:c>
      <x:c r="T12" s="24" t="str">
        <x:f>IF(R12="待补数据","补齐工时和实际成本后再判断。",IF(R12="引流低效","先减低效点位/时段工时，连续3周验证后再替换。",IF(R12="引流观察","调整点位与时段，下一周复盘。","保持或增加有效点位排班，并培养复制。")))</x:f>
        <x:v>保持或增加有效点位排班，并培养复制。</x:v>
      </x:c>
    </x:row>
    <x:row r="13">
      <x:c r="A13" s="24" t="str">
        <x:f>'门店周数据录入'!A13</x:f>
        <x:v>2区</x:v>
      </x:c>
      <x:c r="B13" s="24" t="str">
        <x:f>'门店周数据录入'!B13</x:f>
        <x:v>惠济万达</x:v>
      </x:c>
      <x:c r="C13" s="24" t="str">
        <x:f>'门店周数据录入'!C13</x:f>
        <x:v>B类</x:v>
      </x:c>
      <x:c r="D13" s="54" t="n">
        <x:f>'门店周数据录入'!E13</x:f>
        <x:v>19046</x:v>
      </x:c>
      <x:c r="E13" s="54" t="n">
        <x:f>'门店周数据录入'!F13</x:f>
        <x:v>6</x:v>
      </x:c>
      <x:c r="F13" s="54" t="n">
        <x:f>'门店周数据录入'!G13</x:f>
        <x:v>44.6</x:v>
      </x:c>
      <x:c r="G13" s="54" t="n">
        <x:f>'门店周数据录入'!H13</x:f>
        <x:v>446</x:v>
      </x:c>
      <x:c r="H13" s="54" t="n">
        <x:f>'门店周数据录入'!M13</x:f>
        <x:v>446</x:v>
      </x:c>
      <x:c r="I13" s="54" t="n">
        <x:f>'门店周数据录入'!O13</x:f>
        <x:v>10582</x:v>
      </x:c>
      <x:c r="J13" s="57" t="n">
        <x:f>IF(H13&gt;0,I13/H13,"")</x:f>
        <x:v>23.72645739910314</x:v>
      </x:c>
      <x:c r="K13" s="54" t="n">
        <x:f>IF(F13&gt;0,I13/F13,"")</x:f>
        <x:v>237.26457399103137</x:v>
      </x:c>
      <x:c r="L13" s="54" t="str">
        <x:f>IF('门店周数据录入'!N13="","",'门店周数据录入'!N13)</x:f>
      </x:c>
      <x:c r="M13" s="54" t="str">
        <x:f>IF(OR(L13="",L13&lt;=0),"",H13/L13)</x:f>
      </x:c>
      <x:c r="N13" s="54" t="str">
        <x:f>IF('门店周数据录入'!P13="","",'门店周数据录入'!P13)</x:f>
      </x:c>
      <x:c r="O13" s="54" t="str">
        <x:f>IF(OR(N13="",N13&lt;=0),"",H13/N13)</x:f>
      </x:c>
      <x:c r="P13" s="60" t="n">
        <x:f>IF(D13&gt;0,H13/D13,"")</x:f>
        <x:v>0.023416990444187755</x:v>
      </x:c>
      <x:c r="Q13" s="24" t="str">
        <x:f>IF(AND(I13&gt;0,OR(F13&lt;=0,H13&lt;=0)),"数据异常",IF(OR(F13&lt;=0,H13&lt;=0),"人工数据缺失",IF('规则参数'!$B$24&lt;&gt;"是","周期待确认",IF(OR(L13="",N13=""),"转化数据缺失","完整"))))</x:f>
        <x:v>周期待确认</x:v>
      </x:c>
      <x:c r="R13" s="24" t="str">
        <x:f>IF(OR(Q13="数据异常",Q13="人工数据缺失"),"待补数据",IF(OR(J13&lt;'规则参数'!$B$7,K13&lt;'规则参数'!$B$9),"引流低效",IF(OR(J13&lt;'规则参数'!$B$8,P13&gt;'规则参数'!$B$10),"引流观察","引流优秀")))</x:f>
        <x:v>引流优秀</x:v>
      </x:c>
      <x:c r="S13" s="24" t="str">
        <x:f>IF(R13="待补数据","工时或成本口径不完整，先修正数据。",IF(J13&lt;'规则参数'!$B$7,"每1元工资换回的成交金额低于低效线。",IF(K13&lt;'规则参数'!$B$9,"每小时成交金额偏低，先检查点位和时段。",IF(P13&gt;'规则参数'!$B$10,"引流人工成本占门店营收偏高。","产出倍数与小时产出均达标。"))))</x:f>
        <x:v>产出倍数与小时产出均达标。</x:v>
      </x:c>
      <x:c r="T13" s="24" t="str">
        <x:f>IF(R13="待补数据","补齐工时和实际成本后再判断。",IF(R13="引流低效","先减低效点位/时段工时，连续3周验证后再替换。",IF(R13="引流观察","调整点位与时段，下一周复盘。","保持或增加有效点位排班，并培养复制。")))</x:f>
        <x:v>保持或增加有效点位排班，并培养复制。</x:v>
      </x:c>
    </x:row>
    <x:row r="14">
      <x:c r="A14" s="24" t="str">
        <x:f>'门店周数据录入'!A14</x:f>
        <x:v>2区</x:v>
      </x:c>
      <x:c r="B14" s="24" t="str">
        <x:f>'门店周数据录入'!B14</x:f>
        <x:v>新乡万达</x:v>
      </x:c>
      <x:c r="C14" s="24" t="str">
        <x:f>'门店周数据录入'!C14</x:f>
        <x:v>C类</x:v>
      </x:c>
      <x:c r="D14" s="54" t="n">
        <x:f>'门店周数据录入'!E14</x:f>
        <x:v>14678.2</x:v>
      </x:c>
      <x:c r="E14" s="54" t="n">
        <x:f>'门店周数据录入'!F14</x:f>
        <x:v>8</x:v>
      </x:c>
      <x:c r="F14" s="54" t="n">
        <x:f>'门店周数据录入'!G14</x:f>
        <x:v>169.9</x:v>
      </x:c>
      <x:c r="G14" s="54" t="n">
        <x:f>'门店周数据录入'!H14</x:f>
        <x:v>1699</x:v>
      </x:c>
      <x:c r="H14" s="54" t="n">
        <x:f>'门店周数据录入'!M14</x:f>
        <x:v>1699</x:v>
      </x:c>
      <x:c r="I14" s="54" t="n">
        <x:f>'门店周数据录入'!O14</x:f>
        <x:v>22490.2</x:v>
      </x:c>
      <x:c r="J14" s="57" t="n">
        <x:f>IF(H14&gt;0,I14/H14,"")</x:f>
        <x:v>13.237316068275456</x:v>
      </x:c>
      <x:c r="K14" s="54" t="n">
        <x:f>IF(F14&gt;0,I14/F14,"")</x:f>
        <x:v>132.37316068275456</x:v>
      </x:c>
      <x:c r="L14" s="54" t="str">
        <x:f>IF('门店周数据录入'!N14="","",'门店周数据录入'!N14)</x:f>
      </x:c>
      <x:c r="M14" s="54" t="str">
        <x:f>IF(OR(L14="",L14&lt;=0),"",H14/L14)</x:f>
      </x:c>
      <x:c r="N14" s="54" t="str">
        <x:f>IF('门店周数据录入'!P14="","",'门店周数据录入'!P14)</x:f>
      </x:c>
      <x:c r="O14" s="54" t="str">
        <x:f>IF(OR(N14="",N14&lt;=0),"",H14/N14)</x:f>
      </x:c>
      <x:c r="P14" s="60" t="n">
        <x:f>IF(D14&gt;0,H14/D14,"")</x:f>
        <x:v>0.1157498875883964</x:v>
      </x:c>
      <x:c r="Q14" s="24" t="str">
        <x:f>IF(AND(I14&gt;0,OR(F14&lt;=0,H14&lt;=0)),"数据异常",IF(OR(F14&lt;=0,H14&lt;=0),"人工数据缺失",IF('规则参数'!$B$24&lt;&gt;"是","周期待确认",IF(OR(L14="",N14=""),"转化数据缺失","完整"))))</x:f>
        <x:v>周期待确认</x:v>
      </x:c>
      <x:c r="R14" s="24" t="str">
        <x:f>IF(OR(Q14="数据异常",Q14="人工数据缺失"),"待补数据",IF(OR(J14&lt;'规则参数'!$B$7,K14&lt;'规则参数'!$B$9),"引流低效",IF(OR(J14&lt;'规则参数'!$B$8,P14&gt;'规则参数'!$B$10),"引流观察","引流优秀")))</x:f>
        <x:v>引流观察</x:v>
      </x:c>
      <x:c r="S14" s="24" t="str">
        <x:f>IF(R14="待补数据","工时或成本口径不完整，先修正数据。",IF(J14&lt;'规则参数'!$B$7,"每1元工资换回的成交金额低于低效线。",IF(K14&lt;'规则参数'!$B$9,"每小时成交金额偏低，先检查点位和时段。",IF(P14&gt;'规则参数'!$B$10,"引流人工成本占门店营收偏高。","产出倍数与小时产出均达标。"))))</x:f>
        <x:v>引流人工成本占门店营收偏高。</x:v>
      </x:c>
      <x:c r="T14" s="24" t="str">
        <x:f>IF(R14="待补数据","补齐工时和实际成本后再判断。",IF(R14="引流低效","先减低效点位/时段工时，连续3周验证后再替换。",IF(R14="引流观察","调整点位与时段，下一周复盘。","保持或增加有效点位排班，并培养复制。")))</x:f>
        <x:v>调整点位与时段，下一周复盘。</x:v>
      </x:c>
    </x:row>
    <x:row r="15">
      <x:c r="A15" s="24" t="str">
        <x:f>'门店周数据录入'!A15</x:f>
        <x:v>3区</x:v>
      </x:c>
      <x:c r="B15" s="24" t="str">
        <x:f>'门店周数据录入'!B15</x:f>
        <x:v>武汉荟聚</x:v>
      </x:c>
      <x:c r="C15" s="24" t="str">
        <x:f>'门店周数据录入'!C15</x:f>
        <x:v>A类</x:v>
      </x:c>
      <x:c r="D15" s="54" t="n">
        <x:f>'门店周数据录入'!E15</x:f>
        <x:v>37327</x:v>
      </x:c>
      <x:c r="E15" s="54" t="n">
        <x:f>'门店周数据录入'!F15</x:f>
        <x:v>14</x:v>
      </x:c>
      <x:c r="F15" s="54" t="n">
        <x:f>'门店周数据录入'!G15</x:f>
        <x:v>225.6</x:v>
      </x:c>
      <x:c r="G15" s="54" t="n">
        <x:f>'门店周数据录入'!H15</x:f>
        <x:v>2256</x:v>
      </x:c>
      <x:c r="H15" s="54" t="n">
        <x:f>'门店周数据录入'!M15</x:f>
        <x:v>2256</x:v>
      </x:c>
      <x:c r="I15" s="54" t="n">
        <x:f>'门店周数据录入'!O15</x:f>
        <x:v>55821</x:v>
      </x:c>
      <x:c r="J15" s="57" t="n">
        <x:f>IF(H15&gt;0,I15/H15,"")</x:f>
        <x:v>24.743351063829788</x:v>
      </x:c>
      <x:c r="K15" s="54" t="n">
        <x:f>IF(F15&gt;0,I15/F15,"")</x:f>
        <x:v>247.4335106382979</x:v>
      </x:c>
      <x:c r="L15" s="54" t="str">
        <x:f>IF('门店周数据录入'!N15="","",'门店周数据录入'!N15)</x:f>
      </x:c>
      <x:c r="M15" s="54" t="str">
        <x:f>IF(OR(L15="",L15&lt;=0),"",H15/L15)</x:f>
      </x:c>
      <x:c r="N15" s="54" t="str">
        <x:f>IF('门店周数据录入'!P15="","",'门店周数据录入'!P15)</x:f>
      </x:c>
      <x:c r="O15" s="54" t="str">
        <x:f>IF(OR(N15="",N15&lt;=0),"",H15/N15)</x:f>
      </x:c>
      <x:c r="P15" s="60" t="n">
        <x:f>IF(D15&gt;0,H15/D15,"")</x:f>
        <x:v>0.06043882444343237</x:v>
      </x:c>
      <x:c r="Q15" s="24" t="str">
        <x:f>IF(AND(I15&gt;0,OR(F15&lt;=0,H15&lt;=0)),"数据异常",IF(OR(F15&lt;=0,H15&lt;=0),"人工数据缺失",IF('规则参数'!$B$24&lt;&gt;"是","周期待确认",IF(OR(L15="",N15=""),"转化数据缺失","完整"))))</x:f>
        <x:v>周期待确认</x:v>
      </x:c>
      <x:c r="R15" s="24" t="str">
        <x:f>IF(OR(Q15="数据异常",Q15="人工数据缺失"),"待补数据",IF(OR(J15&lt;'规则参数'!$B$7,K15&lt;'规则参数'!$B$9),"引流低效",IF(OR(J15&lt;'规则参数'!$B$8,P15&gt;'规则参数'!$B$10),"引流观察","引流优秀")))</x:f>
        <x:v>引流优秀</x:v>
      </x:c>
      <x:c r="S15" s="24" t="str">
        <x:f>IF(R15="待补数据","工时或成本口径不完整，先修正数据。",IF(J15&lt;'规则参数'!$B$7,"每1元工资换回的成交金额低于低效线。",IF(K15&lt;'规则参数'!$B$9,"每小时成交金额偏低，先检查点位和时段。",IF(P15&gt;'规则参数'!$B$10,"引流人工成本占门店营收偏高。","产出倍数与小时产出均达标。"))))</x:f>
        <x:v>产出倍数与小时产出均达标。</x:v>
      </x:c>
      <x:c r="T15" s="24" t="str">
        <x:f>IF(R15="待补数据","补齐工时和实际成本后再判断。",IF(R15="引流低效","先减低效点位/时段工时，连续3周验证后再替换。",IF(R15="引流观察","调整点位与时段，下一周复盘。","保持或增加有效点位排班，并培养复制。")))</x:f>
        <x:v>保持或增加有效点位排班，并培养复制。</x:v>
      </x:c>
    </x:row>
    <x:row r="16">
      <x:c r="A16" s="24" t="str">
        <x:f>'门店周数据录入'!A16</x:f>
        <x:v>2区</x:v>
      </x:c>
      <x:c r="B16" s="24" t="str">
        <x:f>'门店周数据录入'!B16</x:f>
        <x:v>洛阳中州</x:v>
      </x:c>
      <x:c r="C16" s="24" t="str">
        <x:f>'门店周数据录入'!C16</x:f>
        <x:v>B类</x:v>
      </x:c>
      <x:c r="D16" s="54" t="n">
        <x:f>'门店周数据录入'!E16</x:f>
        <x:v>57467</x:v>
      </x:c>
      <x:c r="E16" s="54" t="n">
        <x:f>'门店周数据录入'!F16</x:f>
        <x:v>5</x:v>
      </x:c>
      <x:c r="F16" s="54" t="n">
        <x:f>'门店周数据录入'!G16</x:f>
        <x:v>150</x:v>
      </x:c>
      <x:c r="G16" s="54" t="n">
        <x:f>'门店周数据录入'!H16</x:f>
        <x:v>1500</x:v>
      </x:c>
      <x:c r="H16" s="54" t="n">
        <x:f>'门店周数据录入'!M16</x:f>
        <x:v>1500</x:v>
      </x:c>
      <x:c r="I16" s="54" t="n">
        <x:f>'门店周数据录入'!O16</x:f>
        <x:v>20406</x:v>
      </x:c>
      <x:c r="J16" s="57" t="n">
        <x:f>IF(H16&gt;0,I16/H16,"")</x:f>
        <x:v>13.604</x:v>
      </x:c>
      <x:c r="K16" s="54" t="n">
        <x:f>IF(F16&gt;0,I16/F16,"")</x:f>
        <x:v>136.04</x:v>
      </x:c>
      <x:c r="L16" s="54" t="str">
        <x:f>IF('门店周数据录入'!N16="","",'门店周数据录入'!N16)</x:f>
      </x:c>
      <x:c r="M16" s="54" t="str">
        <x:f>IF(OR(L16="",L16&lt;=0),"",H16/L16)</x:f>
      </x:c>
      <x:c r="N16" s="54" t="str">
        <x:f>IF('门店周数据录入'!P16="","",'门店周数据录入'!P16)</x:f>
      </x:c>
      <x:c r="O16" s="54" t="str">
        <x:f>IF(OR(N16="",N16&lt;=0),"",H16/N16)</x:f>
      </x:c>
      <x:c r="P16" s="60" t="n">
        <x:f>IF(D16&gt;0,H16/D16,"")</x:f>
        <x:v>0.026101936763707867</x:v>
      </x:c>
      <x:c r="Q16" s="24" t="str">
        <x:f>IF(AND(I16&gt;0,OR(F16&lt;=0,H16&lt;=0)),"数据异常",IF(OR(F16&lt;=0,H16&lt;=0),"人工数据缺失",IF('规则参数'!$B$24&lt;&gt;"是","周期待确认",IF(OR(L16="",N16=""),"转化数据缺失","完整"))))</x:f>
        <x:v>周期待确认</x:v>
      </x:c>
      <x:c r="R16" s="24" t="str">
        <x:f>IF(OR(Q16="数据异常",Q16="人工数据缺失"),"待补数据",IF(OR(J16&lt;'规则参数'!$B$7,K16&lt;'规则参数'!$B$9),"引流低效",IF(OR(J16&lt;'规则参数'!$B$8,P16&gt;'规则参数'!$B$10),"引流观察","引流优秀")))</x:f>
        <x:v>引流优秀</x:v>
      </x:c>
      <x:c r="S16" s="24" t="str">
        <x:f>IF(R16="待补数据","工时或成本口径不完整，先修正数据。",IF(J16&lt;'规则参数'!$B$7,"每1元工资换回的成交金额低于低效线。",IF(K16&lt;'规则参数'!$B$9,"每小时成交金额偏低，先检查点位和时段。",IF(P16&gt;'规则参数'!$B$10,"引流人工成本占门店营收偏高。","产出倍数与小时产出均达标。"))))</x:f>
        <x:v>产出倍数与小时产出均达标。</x:v>
      </x:c>
      <x:c r="T16" s="24" t="str">
        <x:f>IF(R16="待补数据","补齐工时和实际成本后再判断。",IF(R16="引流低效","先减低效点位/时段工时，连续3周验证后再替换。",IF(R16="引流观察","调整点位与时段，下一周复盘。","保持或增加有效点位排班，并培养复制。")))</x:f>
        <x:v>保持或增加有效点位排班，并培养复制。</x:v>
      </x:c>
    </x:row>
    <x:row r="17">
      <x:c r="A17" s="24" t="str">
        <x:f>'门店周数据录入'!A17</x:f>
        <x:v>2区</x:v>
      </x:c>
      <x:c r="B17" s="24" t="str">
        <x:f>'门店周数据录入'!B17</x:f>
        <x:v>洛阳泉舜</x:v>
      </x:c>
      <x:c r="C17" s="24" t="str">
        <x:f>'门店周数据录入'!C17</x:f>
        <x:v>A类</x:v>
      </x:c>
      <x:c r="D17" s="54" t="n">
        <x:f>'门店周数据录入'!E17</x:f>
        <x:v>59118</x:v>
      </x:c>
      <x:c r="E17" s="54" t="n">
        <x:f>'门店周数据录入'!F17</x:f>
        <x:v>7</x:v>
      </x:c>
      <x:c r="F17" s="54" t="n">
        <x:f>'门店周数据录入'!G17</x:f>
        <x:v>90.8</x:v>
      </x:c>
      <x:c r="G17" s="54" t="n">
        <x:f>'门店周数据录入'!H17</x:f>
        <x:v>908</x:v>
      </x:c>
      <x:c r="H17" s="54" t="n">
        <x:f>'门店周数据录入'!M17</x:f>
        <x:v>908</x:v>
      </x:c>
      <x:c r="I17" s="54" t="n">
        <x:f>'门店周数据录入'!O17</x:f>
        <x:v>21128</x:v>
      </x:c>
      <x:c r="J17" s="57" t="n">
        <x:f>IF(H17&gt;0,I17/H17,"")</x:f>
        <x:v>23.26872246696035</x:v>
      </x:c>
      <x:c r="K17" s="54" t="n">
        <x:f>IF(F17&gt;0,I17/F17,"")</x:f>
        <x:v>232.68722466960352</x:v>
      </x:c>
      <x:c r="L17" s="54" t="str">
        <x:f>IF('门店周数据录入'!N17="","",'门店周数据录入'!N17)</x:f>
      </x:c>
      <x:c r="M17" s="54" t="str">
        <x:f>IF(OR(L17="",L17&lt;=0),"",H17/L17)</x:f>
      </x:c>
      <x:c r="N17" s="54" t="str">
        <x:f>IF('门店周数据录入'!P17="","",'门店周数据录入'!P17)</x:f>
      </x:c>
      <x:c r="O17" s="54" t="str">
        <x:f>IF(OR(N17="",N17&lt;=0),"",H17/N17)</x:f>
      </x:c>
      <x:c r="P17" s="60" t="n">
        <x:f>IF(D17&gt;0,H17/D17,"")</x:f>
        <x:v>0.015359112283906762</x:v>
      </x:c>
      <x:c r="Q17" s="24" t="str">
        <x:f>IF(AND(I17&gt;0,OR(F17&lt;=0,H17&lt;=0)),"数据异常",IF(OR(F17&lt;=0,H17&lt;=0),"人工数据缺失",IF('规则参数'!$B$24&lt;&gt;"是","周期待确认",IF(OR(L17="",N17=""),"转化数据缺失","完整"))))</x:f>
        <x:v>周期待确认</x:v>
      </x:c>
      <x:c r="R17" s="24" t="str">
        <x:f>IF(OR(Q17="数据异常",Q17="人工数据缺失"),"待补数据",IF(OR(J17&lt;'规则参数'!$B$7,K17&lt;'规则参数'!$B$9),"引流低效",IF(OR(J17&lt;'规则参数'!$B$8,P17&gt;'规则参数'!$B$10),"引流观察","引流优秀")))</x:f>
        <x:v>引流优秀</x:v>
      </x:c>
      <x:c r="S17" s="24" t="str">
        <x:f>IF(R17="待补数据","工时或成本口径不完整，先修正数据。",IF(J17&lt;'规则参数'!$B$7,"每1元工资换回的成交金额低于低效线。",IF(K17&lt;'规则参数'!$B$9,"每小时成交金额偏低，先检查点位和时段。",IF(P17&gt;'规则参数'!$B$10,"引流人工成本占门店营收偏高。","产出倍数与小时产出均达标。"))))</x:f>
        <x:v>产出倍数与小时产出均达标。</x:v>
      </x:c>
      <x:c r="T17" s="24" t="str">
        <x:f>IF(R17="待补数据","补齐工时和实际成本后再判断。",IF(R17="引流低效","先减低效点位/时段工时，连续3周验证后再替换。",IF(R17="引流观察","调整点位与时段，下一周复盘。","保持或增加有效点位排班，并培养复制。")))</x:f>
        <x:v>保持或增加有效点位排班，并培养复制。</x:v>
      </x:c>
    </x:row>
    <x:row r="18">
      <x:c r="A18" s="24" t="str">
        <x:f>'门店周数据录入'!A18</x:f>
        <x:v>3区</x:v>
      </x:c>
      <x:c r="B18" s="24" t="str">
        <x:f>'门店周数据录入'!B18</x:f>
        <x:v>滑县吾悦</x:v>
      </x:c>
      <x:c r="C18" s="24" t="str">
        <x:f>'门店周数据录入'!C18</x:f>
        <x:v>C类</x:v>
      </x:c>
      <x:c r="D18" s="54" t="n">
        <x:f>'门店周数据录入'!E18</x:f>
        <x:v>7070</x:v>
      </x:c>
      <x:c r="E18" s="54" t="n">
        <x:f>'门店周数据录入'!F18</x:f>
        <x:v>5</x:v>
      </x:c>
      <x:c r="F18" s="54" t="n">
        <x:f>'门店周数据录入'!G18</x:f>
        <x:v>77.2</x:v>
      </x:c>
      <x:c r="G18" s="54" t="n">
        <x:f>'门店周数据录入'!H18</x:f>
        <x:v>772</x:v>
      </x:c>
      <x:c r="H18" s="54" t="n">
        <x:f>'门店周数据录入'!M18</x:f>
        <x:v>772</x:v>
      </x:c>
      <x:c r="I18" s="54" t="n">
        <x:f>'门店周数据录入'!O18</x:f>
        <x:v>3387</x:v>
      </x:c>
      <x:c r="J18" s="57" t="n">
        <x:f>IF(H18&gt;0,I18/H18,"")</x:f>
        <x:v>4.387305699481865</x:v>
      </x:c>
      <x:c r="K18" s="54" t="n">
        <x:f>IF(F18&gt;0,I18/F18,"")</x:f>
        <x:v>43.873056994818654</x:v>
      </x:c>
      <x:c r="L18" s="54" t="str">
        <x:f>IF('门店周数据录入'!N18="","",'门店周数据录入'!N18)</x:f>
      </x:c>
      <x:c r="M18" s="54" t="str">
        <x:f>IF(OR(L18="",L18&lt;=0),"",H18/L18)</x:f>
      </x:c>
      <x:c r="N18" s="54" t="str">
        <x:f>IF('门店周数据录入'!P18="","",'门店周数据录入'!P18)</x:f>
      </x:c>
      <x:c r="O18" s="54" t="str">
        <x:f>IF(OR(N18="",N18&lt;=0),"",H18/N18)</x:f>
      </x:c>
      <x:c r="P18" s="60" t="n">
        <x:f>IF(D18&gt;0,H18/D18,"")</x:f>
        <x:v>0.1091937765205092</x:v>
      </x:c>
      <x:c r="Q18" s="24" t="str">
        <x:f>IF(AND(I18&gt;0,OR(F18&lt;=0,H18&lt;=0)),"数据异常",IF(OR(F18&lt;=0,H18&lt;=0),"人工数据缺失",IF('规则参数'!$B$24&lt;&gt;"是","周期待确认",IF(OR(L18="",N18=""),"转化数据缺失","完整"))))</x:f>
        <x:v>周期待确认</x:v>
      </x:c>
      <x:c r="R18" s="24" t="str">
        <x:f>IF(OR(Q18="数据异常",Q18="人工数据缺失"),"待补数据",IF(OR(J18&lt;'规则参数'!$B$7,K18&lt;'规则参数'!$B$9),"引流低效",IF(OR(J18&lt;'规则参数'!$B$8,P18&gt;'规则参数'!$B$10),"引流观察","引流优秀")))</x:f>
        <x:v>引流低效</x:v>
      </x:c>
      <x:c r="S18" s="24" t="str">
        <x:f>IF(R18="待补数据","工时或成本口径不完整，先修正数据。",IF(J18&lt;'规则参数'!$B$7,"每1元工资换回的成交金额低于低效线。",IF(K18&lt;'规则参数'!$B$9,"每小时成交金额偏低，先检查点位和时段。",IF(P18&gt;'规则参数'!$B$10,"引流人工成本占门店营收偏高。","产出倍数与小时产出均达标。"))))</x:f>
        <x:v>每1元工资换回的成交金额低于低效线。</x:v>
      </x:c>
      <x:c r="T18" s="24" t="str">
        <x:f>IF(R18="待补数据","补齐工时和实际成本后再判断。",IF(R18="引流低效","先减低效点位/时段工时，连续3周验证后再替换。",IF(R18="引流观察","调整点位与时段，下一周复盘。","保持或增加有效点位排班，并培养复制。")))</x:f>
        <x:v>先减低效点位/时段工时，连续3周验证后再替换。</x:v>
      </x:c>
    </x:row>
    <x:row r="19">
      <x:c r="A19" s="24" t="str">
        <x:f>'门店周数据录入'!A19</x:f>
        <x:v>2区</x:v>
      </x:c>
      <x:c r="B19" s="24" t="str">
        <x:f>'门店周数据录入'!B19</x:f>
        <x:v>焦作万达</x:v>
      </x:c>
      <x:c r="C19" s="24" t="str">
        <x:f>'门店周数据录入'!C19</x:f>
        <x:v>A类</x:v>
      </x:c>
      <x:c r="D19" s="54" t="n">
        <x:f>'门店周数据录入'!E19</x:f>
        <x:v>34126.2</x:v>
      </x:c>
      <x:c r="E19" s="54" t="n">
        <x:f>'门店周数据录入'!F19</x:f>
        <x:v>10</x:v>
      </x:c>
      <x:c r="F19" s="54" t="n">
        <x:f>'门店周数据录入'!G19</x:f>
        <x:v>224</x:v>
      </x:c>
      <x:c r="G19" s="54" t="n">
        <x:f>'门店周数据录入'!H19</x:f>
        <x:v>2240</x:v>
      </x:c>
      <x:c r="H19" s="54" t="n">
        <x:f>'门店周数据录入'!M19</x:f>
        <x:v>2240</x:v>
      </x:c>
      <x:c r="I19" s="54" t="n">
        <x:f>'门店周数据录入'!O19</x:f>
        <x:v>32953.2</x:v>
      </x:c>
      <x:c r="J19" s="57" t="n">
        <x:f>IF(H19&gt;0,I19/H19,"")</x:f>
        <x:v>14.711249999999998</x:v>
      </x:c>
      <x:c r="K19" s="54" t="n">
        <x:f>IF(F19&gt;0,I19/F19,"")</x:f>
        <x:v>147.11249999999998</x:v>
      </x:c>
      <x:c r="L19" s="54" t="str">
        <x:f>IF('门店周数据录入'!N19="","",'门店周数据录入'!N19)</x:f>
      </x:c>
      <x:c r="M19" s="54" t="str">
        <x:f>IF(OR(L19="",L19&lt;=0),"",H19/L19)</x:f>
      </x:c>
      <x:c r="N19" s="54" t="str">
        <x:f>IF('门店周数据录入'!P19="","",'门店周数据录入'!P19)</x:f>
      </x:c>
      <x:c r="O19" s="54" t="str">
        <x:f>IF(OR(N19="",N19&lt;=0),"",H19/N19)</x:f>
      </x:c>
      <x:c r="P19" s="60" t="n">
        <x:f>IF(D19&gt;0,H19/D19,"")</x:f>
        <x:v>0.06563871746634552</x:v>
      </x:c>
      <x:c r="Q19" s="24" t="str">
        <x:f>IF(AND(I19&gt;0,OR(F19&lt;=0,H19&lt;=0)),"数据异常",IF(OR(F19&lt;=0,H19&lt;=0),"人工数据缺失",IF('规则参数'!$B$24&lt;&gt;"是","周期待确认",IF(OR(L19="",N19=""),"转化数据缺失","完整"))))</x:f>
        <x:v>周期待确认</x:v>
      </x:c>
      <x:c r="R19" s="24" t="str">
        <x:f>IF(OR(Q19="数据异常",Q19="人工数据缺失"),"待补数据",IF(OR(J19&lt;'规则参数'!$B$7,K19&lt;'规则参数'!$B$9),"引流低效",IF(OR(J19&lt;'规则参数'!$B$8,P19&gt;'规则参数'!$B$10),"引流观察","引流优秀")))</x:f>
        <x:v>引流优秀</x:v>
      </x:c>
      <x:c r="S19" s="24" t="str">
        <x:f>IF(R19="待补数据","工时或成本口径不完整，先修正数据。",IF(J19&lt;'规则参数'!$B$7,"每1元工资换回的成交金额低于低效线。",IF(K19&lt;'规则参数'!$B$9,"每小时成交金额偏低，先检查点位和时段。",IF(P19&gt;'规则参数'!$B$10,"引流人工成本占门店营收偏高。","产出倍数与小时产出均达标。"))))</x:f>
        <x:v>产出倍数与小时产出均达标。</x:v>
      </x:c>
      <x:c r="T19" s="24" t="str">
        <x:f>IF(R19="待补数据","补齐工时和实际成本后再判断。",IF(R19="引流低效","先减低效点位/时段工时，连续3周验证后再替换。",IF(R19="引流观察","调整点位与时段，下一周复盘。","保持或增加有效点位排班，并培养复制。")))</x:f>
        <x:v>保持或增加有效点位排班，并培养复制。</x:v>
      </x:c>
    </x:row>
    <x:row r="20">
      <x:c r="A20" s="24" t="str">
        <x:f>'门店周数据录入'!A20</x:f>
        <x:v>1区</x:v>
      </x:c>
      <x:c r="B20" s="24" t="str">
        <x:f>'门店周数据录入'!B20</x:f>
        <x:v>襄阳高新万达</x:v>
      </x:c>
      <x:c r="C20" s="24" t="str">
        <x:f>'门店周数据录入'!C20</x:f>
        <x:v>A类</x:v>
      </x:c>
      <x:c r="D20" s="54" t="n">
        <x:f>'门店周数据录入'!E20</x:f>
        <x:v>26476</x:v>
      </x:c>
      <x:c r="E20" s="54" t="n">
        <x:f>'门店周数据录入'!F20</x:f>
        <x:v>5</x:v>
      </x:c>
      <x:c r="F20" s="54" t="n">
        <x:f>'门店周数据录入'!G20</x:f>
        <x:v>57.5</x:v>
      </x:c>
      <x:c r="G20" s="54" t="n">
        <x:f>'门店周数据录入'!H20</x:f>
        <x:v>575</x:v>
      </x:c>
      <x:c r="H20" s="54" t="n">
        <x:f>'门店周数据录入'!M20</x:f>
        <x:v>575</x:v>
      </x:c>
      <x:c r="I20" s="54" t="n">
        <x:f>'门店周数据录入'!O20</x:f>
        <x:v>9151</x:v>
      </x:c>
      <x:c r="J20" s="57" t="n">
        <x:f>IF(H20&gt;0,I20/H20,"")</x:f>
        <x:v>15.914782608695653</x:v>
      </x:c>
      <x:c r="K20" s="54" t="n">
        <x:f>IF(F20&gt;0,I20/F20,"")</x:f>
        <x:v>159.1478260869565</x:v>
      </x:c>
      <x:c r="L20" s="54" t="str">
        <x:f>IF('门店周数据录入'!N20="","",'门店周数据录入'!N20)</x:f>
      </x:c>
      <x:c r="M20" s="54" t="str">
        <x:f>IF(OR(L20="",L20&lt;=0),"",H20/L20)</x:f>
      </x:c>
      <x:c r="N20" s="54" t="str">
        <x:f>IF('门店周数据录入'!P20="","",'门店周数据录入'!P20)</x:f>
      </x:c>
      <x:c r="O20" s="54" t="str">
        <x:f>IF(OR(N20="",N20&lt;=0),"",H20/N20)</x:f>
      </x:c>
      <x:c r="P20" s="60" t="n">
        <x:f>IF(D20&gt;0,H20/D20,"")</x:f>
        <x:v>0.02171778214231757</x:v>
      </x:c>
      <x:c r="Q20" s="24" t="str">
        <x:f>IF(AND(I20&gt;0,OR(F20&lt;=0,H20&lt;=0)),"数据异常",IF(OR(F20&lt;=0,H20&lt;=0),"人工数据缺失",IF('规则参数'!$B$24&lt;&gt;"是","周期待确认",IF(OR(L20="",N20=""),"转化数据缺失","完整"))))</x:f>
        <x:v>周期待确认</x:v>
      </x:c>
      <x:c r="R20" s="24" t="str">
        <x:f>IF(OR(Q20="数据异常",Q20="人工数据缺失"),"待补数据",IF(OR(J20&lt;'规则参数'!$B$7,K20&lt;'规则参数'!$B$9),"引流低效",IF(OR(J20&lt;'规则参数'!$B$8,P20&gt;'规则参数'!$B$10),"引流观察","引流优秀")))</x:f>
        <x:v>引流优秀</x:v>
      </x:c>
      <x:c r="S20" s="24" t="str">
        <x:f>IF(R20="待补数据","工时或成本口径不完整，先修正数据。",IF(J20&lt;'规则参数'!$B$7,"每1元工资换回的成交金额低于低效线。",IF(K20&lt;'规则参数'!$B$9,"每小时成交金额偏低，先检查点位和时段。",IF(P20&gt;'规则参数'!$B$10,"引流人工成本占门店营收偏高。","产出倍数与小时产出均达标。"))))</x:f>
        <x:v>产出倍数与小时产出均达标。</x:v>
      </x:c>
      <x:c r="T20" s="24" t="str">
        <x:f>IF(R20="待补数据","补齐工时和实际成本后再判断。",IF(R20="引流低效","先减低效点位/时段工时，连续3周验证后再替换。",IF(R20="引流观察","调整点位与时段，下一周复盘。","保持或增加有效点位排班，并培养复制。")))</x:f>
        <x:v>保持或增加有效点位排班，并培养复制。</x:v>
      </x:c>
    </x:row>
    <x:row r="21">
      <x:c r="A21" s="24" t="str">
        <x:f>'门店周数据录入'!A21</x:f>
        <x:v>1区</x:v>
      </x:c>
      <x:c r="B21" s="24" t="str">
        <x:f>'门店周数据录入'!B21</x:f>
        <x:v>许昌万达</x:v>
      </x:c>
      <x:c r="C21" s="24" t="str">
        <x:f>'门店周数据录入'!C21</x:f>
        <x:v>B类</x:v>
      </x:c>
      <x:c r="D21" s="54" t="n">
        <x:f>'门店周数据录入'!E21</x:f>
        <x:v>20704.6</x:v>
      </x:c>
      <x:c r="E21" s="54" t="n">
        <x:f>'门店周数据录入'!F21</x:f>
        <x:v>6</x:v>
      </x:c>
      <x:c r="F21" s="54" t="n">
        <x:f>'门店周数据录入'!G21</x:f>
        <x:v>89.6</x:v>
      </x:c>
      <x:c r="G21" s="54" t="n">
        <x:f>'门店周数据录入'!H21</x:f>
        <x:v>896</x:v>
      </x:c>
      <x:c r="H21" s="54" t="n">
        <x:f>'门店周数据录入'!M21</x:f>
        <x:v>896</x:v>
      </x:c>
      <x:c r="I21" s="54" t="n">
        <x:f>'门店周数据录入'!O21</x:f>
        <x:v>11586</x:v>
      </x:c>
      <x:c r="J21" s="57" t="n">
        <x:f>IF(H21&gt;0,I21/H21,"")</x:f>
        <x:v>12.930803571428571</x:v>
      </x:c>
      <x:c r="K21" s="54" t="n">
        <x:f>IF(F21&gt;0,I21/F21,"")</x:f>
        <x:v>129.30803571428572</x:v>
      </x:c>
      <x:c r="L21" s="54" t="str">
        <x:f>IF('门店周数据录入'!N21="","",'门店周数据录入'!N21)</x:f>
      </x:c>
      <x:c r="M21" s="54" t="str">
        <x:f>IF(OR(L21="",L21&lt;=0),"",H21/L21)</x:f>
      </x:c>
      <x:c r="N21" s="54" t="str">
        <x:f>IF('门店周数据录入'!P21="","",'门店周数据录入'!P21)</x:f>
      </x:c>
      <x:c r="O21" s="54" t="str">
        <x:f>IF(OR(N21="",N21&lt;=0),"",H21/N21)</x:f>
      </x:c>
      <x:c r="P21" s="60" t="n">
        <x:f>IF(D21&gt;0,H21/D21,"")</x:f>
        <x:v>0.043275407397389956</x:v>
      </x:c>
      <x:c r="Q21" s="24" t="str">
        <x:f>IF(AND(I21&gt;0,OR(F21&lt;=0,H21&lt;=0)),"数据异常",IF(OR(F21&lt;=0,H21&lt;=0),"人工数据缺失",IF('规则参数'!$B$24&lt;&gt;"是","周期待确认",IF(OR(L21="",N21=""),"转化数据缺失","完整"))))</x:f>
        <x:v>周期待确认</x:v>
      </x:c>
      <x:c r="R21" s="24" t="str">
        <x:f>IF(OR(Q21="数据异常",Q21="人工数据缺失"),"待补数据",IF(OR(J21&lt;'规则参数'!$B$7,K21&lt;'规则参数'!$B$9),"引流低效",IF(OR(J21&lt;'规则参数'!$B$8,P21&gt;'规则参数'!$B$10),"引流观察","引流优秀")))</x:f>
        <x:v>引流优秀</x:v>
      </x:c>
      <x:c r="S21" s="24" t="str">
        <x:f>IF(R21="待补数据","工时或成本口径不完整，先修正数据。",IF(J21&lt;'规则参数'!$B$7,"每1元工资换回的成交金额低于低效线。",IF(K21&lt;'规则参数'!$B$9,"每小时成交金额偏低，先检查点位和时段。",IF(P21&gt;'规则参数'!$B$10,"引流人工成本占门店营收偏高。","产出倍数与小时产出均达标。"))))</x:f>
        <x:v>产出倍数与小时产出均达标。</x:v>
      </x:c>
      <x:c r="T21" s="24" t="str">
        <x:f>IF(R21="待补数据","补齐工时和实际成本后再判断。",IF(R21="引流低效","先减低效点位/时段工时，连续3周验证后再替换。",IF(R21="引流观察","调整点位与时段，下一周复盘。","保持或增加有效点位排班，并培养复制。")))</x:f>
        <x:v>保持或增加有效点位排班，并培养复制。</x:v>
      </x:c>
    </x:row>
    <x:row r="22">
      <x:c r="A22" s="25" t="str">
        <x:f>'门店周数据录入'!A22</x:f>
        <x:v>2区</x:v>
      </x:c>
      <x:c r="B22" s="25" t="str">
        <x:f>'门店周数据录入'!B22</x:f>
        <x:v>郑州信万</x:v>
      </x:c>
      <x:c r="C22" s="25" t="str">
        <x:f>'门店周数据录入'!C22</x:f>
        <x:v>C类</x:v>
      </x:c>
      <x:c r="D22" s="55" t="n">
        <x:f>'门店周数据录入'!E22</x:f>
        <x:v>14577</x:v>
      </x:c>
      <x:c r="E22" s="55" t="n">
        <x:f>'门店周数据录入'!F22</x:f>
        <x:v>8</x:v>
      </x:c>
      <x:c r="F22" s="55" t="n">
        <x:f>'门店周数据录入'!G22</x:f>
        <x:v>149.6</x:v>
      </x:c>
      <x:c r="G22" s="55" t="n">
        <x:f>'门店周数据录入'!H22</x:f>
        <x:v>1496</x:v>
      </x:c>
      <x:c r="H22" s="55" t="n">
        <x:f>'门店周数据录入'!M22</x:f>
        <x:v>1496</x:v>
      </x:c>
      <x:c r="I22" s="55" t="n">
        <x:f>'门店周数据录入'!O22</x:f>
        <x:v>20806.05</x:v>
      </x:c>
      <x:c r="J22" s="58" t="n">
        <x:f>IF(H22&gt;0,I22/H22,"")</x:f>
        <x:v>13.90778743315508</x:v>
      </x:c>
      <x:c r="K22" s="55" t="n">
        <x:f>IF(F22&gt;0,I22/F22,"")</x:f>
        <x:v>139.07787433155082</x:v>
      </x:c>
      <x:c r="L22" s="55" t="str">
        <x:f>IF('门店周数据录入'!N22="","",'门店周数据录入'!N22)</x:f>
      </x:c>
      <x:c r="M22" s="55" t="str">
        <x:f>IF(OR(L22="",L22&lt;=0),"",H22/L22)</x:f>
      </x:c>
      <x:c r="N22" s="55" t="str">
        <x:f>IF('门店周数据录入'!P22="","",'门店周数据录入'!P22)</x:f>
      </x:c>
      <x:c r="O22" s="55" t="str">
        <x:f>IF(OR(N22="",N22&lt;=0),"",H22/N22)</x:f>
      </x:c>
      <x:c r="P22" s="61" t="n">
        <x:f>IF(D22&gt;0,H22/D22,"")</x:f>
        <x:v>0.10262742676819647</x:v>
      </x:c>
      <x:c r="Q22" s="25" t="str">
        <x:f>IF(AND(I22&gt;0,OR(F22&lt;=0,H22&lt;=0)),"数据异常",IF(OR(F22&lt;=0,H22&lt;=0),"人工数据缺失",IF('规则参数'!$B$24&lt;&gt;"是","周期待确认",IF(OR(L22="",N22=""),"转化数据缺失","完整"))))</x:f>
        <x:v>周期待确认</x:v>
      </x:c>
      <x:c r="R22" s="25" t="str">
        <x:f>IF(OR(Q22="数据异常",Q22="人工数据缺失"),"待补数据",IF(OR(J22&lt;'规则参数'!$B$7,K22&lt;'规则参数'!$B$9),"引流低效",IF(OR(J22&lt;'规则参数'!$B$8,P22&gt;'规则参数'!$B$10),"引流观察","引流优秀")))</x:f>
        <x:v>引流观察</x:v>
      </x:c>
      <x:c r="S22" s="25" t="str">
        <x:f>IF(R22="待补数据","工时或成本口径不完整，先修正数据。",IF(J22&lt;'规则参数'!$B$7,"每1元工资换回的成交金额低于低效线。",IF(K22&lt;'规则参数'!$B$9,"每小时成交金额偏低，先检查点位和时段。",IF(P22&gt;'规则参数'!$B$10,"引流人工成本占门店营收偏高。","产出倍数与小时产出均达标。"))))</x:f>
        <x:v>引流人工成本占门店营收偏高。</x:v>
      </x:c>
      <x:c r="T22" s="25" t="str">
        <x:f>IF(R22="待补数据","补齐工时和实际成本后再判断。",IF(R22="引流低效","先减低效点位/时段工时，连续3周验证后再替换。",IF(R22="引流观察","调整点位与时段，下一周复盘。","保持或增加有效点位排班，并培养复制。")))</x:f>
        <x:v>调整点位与时段，下一周复盘。</x:v>
      </x:c>
    </x:row>
  </x:sheetData>
  <x:mergeCells>
    <x:mergeCell ref="A1:T1"/>
    <x:mergeCell ref="A2:T2"/>
  </x:mergeCells>
  <x:conditionalFormatting sqref="Q4:R22">
    <x:cfRule type="containsText" dxfId="0" priority="1" operator="containsText" text="优秀"/>
    <x:cfRule type="containsText" dxfId="1" priority="2" operator="containsText" text="合理"/>
    <x:cfRule type="containsText" dxfId="2" priority="3" operator="containsText" text="正常"/>
    <x:cfRule type="containsText" dxfId="3" priority="4" operator="containsText" text="PASS"/>
    <x:cfRule type="containsText" dxfId="4" priority="5" operator="containsText" text="观察"/>
    <x:cfRule type="containsText" dxfId="5" priority="6" operator="containsText" text="缺失"/>
    <x:cfRule type="containsText" dxfId="6" priority="7" operator="containsText" text="待核实"/>
    <x:cfRule type="containsText" dxfId="7" priority="8" operator="containsText" text="待确认"/>
    <x:cfRule type="containsText" dxfId="8" priority="9" operator="containsText" text="CHECK"/>
    <x:cfRule type="containsText" dxfId="9" priority="10" operator="containsText" text="低效"/>
    <x:cfRule type="containsText" dxfId="10" priority="11" operator="containsText" text="偏紧"/>
    <x:cfRule type="containsText" dxfId="11" priority="12" operator="containsText" text="异常"/>
    <x:cfRule type="containsText" dxfId="12" priority="13" operator="containsText" text="ERROR"/>
    <x:cfRule type="containsText" dxfId="13" priority="14" operator="containsText" text="必须处理"/>
    <x:cfRule type="containsText" dxfId="14" priority="15" operator="containsText" text="必须补数据"/>
  </x:conditionalFormatting>
  <x:pageMargins left="0.7" right="0.7" top="0.75" bottom="0.75" header="0.3" footer="0.3"/>
  <x:tableParts count="1">
    <x:tablePart xmlns:r="http://schemas.openxmlformats.org/officeDocument/2006/relationships" r:id="R518a43053dc547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15" hidden="0" customWidth="1"/>
    <x:col min="3" max="3" width="6.440000057220459" hidden="0" customWidth="1"/>
    <x:col min="4" max="4" width="8" hidden="0" customWidth="1"/>
    <x:col min="5" max="5" width="15" hidden="0" customWidth="1"/>
    <x:col min="6" max="6" width="13.890000343322754" hidden="0" customWidth="1"/>
    <x:col min="7" max="7" width="13.890000343322754" hidden="0" customWidth="1"/>
    <x:col min="8" max="8" width="11.670000076293945" hidden="0" customWidth="1"/>
    <x:col min="9" max="9" width="11.109999656677246" hidden="0" customWidth="1"/>
    <x:col min="10" max="10" width="12.220000267028809" hidden="0" customWidth="1"/>
    <x:col min="11" max="11" width="12.220000267028809" hidden="0" customWidth="1"/>
    <x:col min="12" max="12" width="10.5600004196167" hidden="0" customWidth="1"/>
    <x:col min="13" max="13" width="11.670000076293945" hidden="0" customWidth="1"/>
    <x:col min="14" max="14" width="12.220000267028809" hidden="0" customWidth="1"/>
    <x:col min="15" max="15" width="10.5600004196167" hidden="0" customWidth="1"/>
    <x:col min="16" max="16" width="28.889999389648438" hidden="0" customWidth="1"/>
    <x:col min="17" max="17" width="33.33000183105469" hidden="0" customWidth="1"/>
  </x:cols>
  <x:sheetData>
    <x:row r="1" ht="30" customHeight="1">
      <x:c r="A1" s="4" t="str">
        <x:v>复位承接型周汇总：按周末两天高峰实际承接计算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37" t="str">
        <x:v>实际波次/人/时按两天12小时计算。源表“复位工资”周期尚未证明只覆盖周末高峰；确认前，单波次人工成本仅作提示，不参与复位紧松判断。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  <x:c r="P2" s="37"/>
      <x:c r="Q2" s="37"/>
    </x:row>
    <x:row r="3" ht="34.5" customHeight="1">
      <x:c r="A3" s="16" t="str">
        <x:v>区域</x:v>
      </x:c>
      <x:c r="B3" s="17" t="str">
        <x:v>门店</x:v>
      </x:c>
      <x:c r="C3" s="17" t="str">
        <x:v>店型</x:v>
      </x:c>
      <x:c r="D3" s="17" t="str">
        <x:v>主题数</x:v>
      </x:c>
      <x:c r="E3" s="17" t="str">
        <x:v>高峰复位人数（单日平均）</x:v>
      </x:c>
      <x:c r="F3" s="17" t="str">
        <x:v>周末高峰唯一账单波次</x:v>
      </x:c>
      <x:c r="G3" s="17" t="str">
        <x:v>高峰复位实际人工成本</x:v>
      </x:c>
      <x:c r="H3" s="17" t="str">
        <x:v>同时负责主题数</x:v>
      </x:c>
      <x:c r="I3" s="17" t="str">
        <x:v>理论最大波次</x:v>
      </x:c>
      <x:c r="J3" s="17" t="str">
        <x:v>理论波次/人/时</x:v>
      </x:c>
      <x:c r="K3" s="17" t="str">
        <x:v>实际波次/人/时</x:v>
      </x:c>
      <x:c r="L3" s="17" t="str">
        <x:v>高峰利用率</x:v>
      </x:c>
      <x:c r="M3" s="17" t="str">
        <x:v>单波次人工成本</x:v>
      </x:c>
      <x:c r="N3" s="17" t="str">
        <x:v>数据状态</x:v>
      </x:c>
      <x:c r="O3" s="17" t="str">
        <x:v>判断</x:v>
      </x:c>
      <x:c r="P3" s="17" t="str">
        <x:v>原因</x:v>
      </x:c>
      <x:c r="Q3" s="18" t="str">
        <x:v>下周动作</x:v>
      </x:c>
    </x:row>
    <x:row r="4">
      <x:c r="A4" s="23" t="str">
        <x:f>'门店周数据录入'!A4</x:f>
        <x:v>3区</x:v>
      </x:c>
      <x:c r="B4" s="23" t="str">
        <x:f>'门店周数据录入'!B4</x:f>
        <x:v>中原万达</x:v>
      </x:c>
      <x:c r="C4" s="23" t="str">
        <x:f>'门店周数据录入'!C4</x:f>
        <x:v>B类</x:v>
      </x:c>
      <x:c r="D4" s="53" t="n">
        <x:f>'门店周数据录入'!D4</x:f>
        <x:v>13</x:v>
      </x:c>
      <x:c r="E4" s="53" t="n">
        <x:f>'门店周数据录入'!Q4</x:f>
        <x:v>3</x:v>
      </x:c>
      <x:c r="F4" s="53" t="n">
        <x:f>'门店周数据录入'!R4</x:f>
        <x:v>89</x:v>
      </x:c>
      <x:c r="G4" s="53" t="n">
        <x:f>'门店周数据录入'!S4</x:f>
        <x:v>1833</x:v>
      </x:c>
      <x:c r="H4" s="53" t="n">
        <x:f>IF(E4&gt;0,D4/E4,"")</x:f>
        <x:v>4.333333333333333</x:v>
      </x:c>
      <x:c r="I4" s="53" t="n">
        <x:f>D4*'规则参数'!$B$4*'规则参数'!$B$5*60/'规则参数'!$B$6</x:f>
        <x:v>234</x:v>
      </x:c>
      <x:c r="J4" s="53" t="n">
        <x:f>IF(E4&gt;0,I4/E4/('规则参数'!$B$4*'规则参数'!$B$5),"")</x:f>
        <x:v>6.5</x:v>
      </x:c>
      <x:c r="K4" s="53" t="n">
        <x:f>IF(E4&gt;0,F4/E4/('规则参数'!$B$4*'规则参数'!$B$5),"")</x:f>
        <x:v>2.4722222222222223</x:v>
      </x:c>
      <x:c r="L4" s="59" t="n">
        <x:f>IF(I4&gt;0,F4/I4,"")</x:f>
        <x:v>0.3803418803418803</x:v>
      </x:c>
      <x:c r="M4" s="53" t="n">
        <x:f>IF(F4&gt;0,G4/F4,"")</x:f>
        <x:v>20.59550561797753</x:v>
      </x:c>
      <x:c r="N4" s="23" t="str">
        <x:f>IF(AND(E4&lt;=0,F4&gt;0),"数据异常",IF(E4&lt;=0,"人数缺失",IF(F4&lt;=0,"无开场/待核实",IF(G4&lt;=0,"成本缺失",IF('规则参数'!$B$23&lt;&gt;"是","成本周期待确认","完整")))))</x:f>
        <x:v>成本周期待确认</x:v>
      </x:c>
      <x:c r="O4" s="23" t="str">
        <x:f>IF(OR(E4&lt;=0,F4&lt;=0),"数据异常",IF(OR(K4&gt;='规则参数'!$B$16,L4&gt;='规则参数'!$B$17),"高峰偏紧",IF(OR(H4&gt;'规则参数'!$B$12,J4&gt;'规则参数'!$B$14),"结构偏紧",IF(AND(H4&lt;'规则参数'!$B$11,K4&lt;'规则参数'!$B$15),"复位偏松","配置合理"))))</x:f>
        <x:v>配置合理</x:v>
      </x:c>
      <x:c r="P4" s="23" t="str">
        <x:f>IF(O4="数据异常","人数、波次或成本不完整，不能评价配置。",IF(O4="高峰偏紧","两天高峰实际承接强度或理论利用率过高。",IF(O4="结构偏紧","单人负责主题过多，需防止高峰服务风险。",IF(O4="复位偏松","结构负荷与实际波次同时偏低，可能存在工时浪费。","实际承接与结构负荷处于合理区间。"))))</x:f>
        <x:v>实际承接与结构负荷处于合理区间。</x:v>
      </x:c>
      <x:c r="Q4" s="23" t="str">
        <x:f>IF(O4="数据异常","先补齐或核实人数、波次和成本。",IF(O4="高峰偏紧","增加高峰支持或错峰排班，避免服务风险。",IF(O4="结构偏紧","观察两周并准备高峰机动支援。",IF(O4="复位偏松","先减低峰工时，再减低效工时；连续3周后才替换。","保持配置，继续周度跟踪。"))))</x:f>
        <x:v>保持配置，继续周度跟踪。</x:v>
      </x:c>
    </x:row>
    <x:row r="5">
      <x:c r="A5" s="24" t="str">
        <x:f>'门店周数据录入'!A5</x:f>
        <x:v>3区</x:v>
      </x:c>
      <x:c r="B5" s="24" t="str">
        <x:f>'门店周数据录入'!B5</x:f>
        <x:v>二七万象城</x:v>
      </x:c>
      <x:c r="C5" s="24" t="str">
        <x:f>'门店周数据录入'!C5</x:f>
        <x:v>B类</x:v>
      </x:c>
      <x:c r="D5" s="54" t="n">
        <x:f>'门店周数据录入'!D5</x:f>
        <x:v>15</x:v>
      </x:c>
      <x:c r="E5" s="54" t="n">
        <x:f>'门店周数据录入'!Q5</x:f>
        <x:v>7</x:v>
      </x:c>
      <x:c r="F5" s="54" t="n">
        <x:f>'门店周数据录入'!R5</x:f>
        <x:v>152</x:v>
      </x:c>
      <x:c r="G5" s="54" t="n">
        <x:f>'门店周数据录入'!S5</x:f>
        <x:v>2201</x:v>
      </x:c>
      <x:c r="H5" s="54" t="n">
        <x:f>IF(E5&gt;0,D5/E5,"")</x:f>
        <x:v>2.142857142857143</x:v>
      </x:c>
      <x:c r="I5" s="54" t="n">
        <x:f>D5*'规则参数'!$B$4*'规则参数'!$B$5*60/'规则参数'!$B$6</x:f>
        <x:v>270</x:v>
      </x:c>
      <x:c r="J5" s="54" t="n">
        <x:f>IF(E5&gt;0,I5/E5/('规则参数'!$B$4*'规则参数'!$B$5),"")</x:f>
        <x:v>3.214285714285714</x:v>
      </x:c>
      <x:c r="K5" s="54" t="n">
        <x:f>IF(E5&gt;0,F5/E5/('规则参数'!$B$4*'规则参数'!$B$5),"")</x:f>
        <x:v>1.8095238095238095</x:v>
      </x:c>
      <x:c r="L5" s="60" t="n">
        <x:f>IF(I5&gt;0,F5/I5,"")</x:f>
        <x:v>0.562962962962963</x:v>
      </x:c>
      <x:c r="M5" s="54" t="n">
        <x:f>IF(F5&gt;0,G5/F5,"")</x:f>
        <x:v>14.480263157894736</x:v>
      </x:c>
      <x:c r="N5" s="24" t="str">
        <x:f>IF(AND(E5&lt;=0,F5&gt;0),"数据异常",IF(E5&lt;=0,"人数缺失",IF(F5&lt;=0,"无开场/待核实",IF(G5&lt;=0,"成本缺失",IF('规则参数'!$B$23&lt;&gt;"是","成本周期待确认","完整")))))</x:f>
        <x:v>成本周期待确认</x:v>
      </x:c>
      <x:c r="O5" s="24" t="str">
        <x:f>IF(OR(E5&lt;=0,F5&lt;=0),"数据异常",IF(OR(K5&gt;='规则参数'!$B$16,L5&gt;='规则参数'!$B$17),"高峰偏紧",IF(OR(H5&gt;'规则参数'!$B$12,J5&gt;'规则参数'!$B$14),"结构偏紧",IF(AND(H5&lt;'规则参数'!$B$11,K5&lt;'规则参数'!$B$15),"复位偏松","配置合理"))))</x:f>
        <x:v>复位偏松</x:v>
      </x:c>
      <x:c r="P5" s="24" t="str">
        <x:f>IF(O5="数据异常","人数、波次或成本不完整，不能评价配置。",IF(O5="高峰偏紧","两天高峰实际承接强度或理论利用率过高。",IF(O5="结构偏紧","单人负责主题过多，需防止高峰服务风险。",IF(O5="复位偏松","结构负荷与实际波次同时偏低，可能存在工时浪费。","实际承接与结构负荷处于合理区间。"))))</x:f>
        <x:v>结构负荷与实际波次同时偏低，可能存在工时浪费。</x:v>
      </x:c>
      <x:c r="Q5" s="24" t="str">
        <x:f>IF(O5="数据异常","先补齐或核实人数、波次和成本。",IF(O5="高峰偏紧","增加高峰支持或错峰排班，避免服务风险。",IF(O5="结构偏紧","观察两周并准备高峰机动支援。",IF(O5="复位偏松","先减低峰工时，再减低效工时；连续3周后才替换。","保持配置，继续周度跟踪。"))))</x:f>
        <x:v>先减低峰工时，再减低效工时；连续3周后才替换。</x:v>
      </x:c>
    </x:row>
    <x:row r="6">
      <x:c r="A6" s="24" t="str">
        <x:f>'门店周数据录入'!A6</x:f>
        <x:v>1区</x:v>
      </x:c>
      <x:c r="B6" s="24" t="str">
        <x:f>'门店周数据录入'!B6</x:f>
        <x:v>信阳万达</x:v>
      </x:c>
      <x:c r="C6" s="24" t="str">
        <x:f>'门店周数据录入'!C6</x:f>
        <x:v>C类</x:v>
      </x:c>
      <x:c r="D6" s="54" t="n">
        <x:f>'门店周数据录入'!D6</x:f>
        <x:v>9</x:v>
      </x:c>
      <x:c r="E6" s="54" t="n">
        <x:f>'门店周数据录入'!Q6</x:f>
        <x:v>2</x:v>
      </x:c>
      <x:c r="F6" s="54" t="n">
        <x:f>'门店周数据录入'!R6</x:f>
        <x:v>67</x:v>
      </x:c>
      <x:c r="G6" s="54" t="n">
        <x:f>'门店周数据录入'!S6</x:f>
        <x:v>449</x:v>
      </x:c>
      <x:c r="H6" s="54" t="n">
        <x:f>IF(E6&gt;0,D6/E6,"")</x:f>
        <x:v>4.5</x:v>
      </x:c>
      <x:c r="I6" s="54" t="n">
        <x:f>D6*'规则参数'!$B$4*'规则参数'!$B$5*60/'规则参数'!$B$6</x:f>
        <x:v>162</x:v>
      </x:c>
      <x:c r="J6" s="54" t="n">
        <x:f>IF(E6&gt;0,I6/E6/('规则参数'!$B$4*'规则参数'!$B$5),"")</x:f>
        <x:v>6.75</x:v>
      </x:c>
      <x:c r="K6" s="54" t="n">
        <x:f>IF(E6&gt;0,F6/E6/('规则参数'!$B$4*'规则参数'!$B$5),"")</x:f>
        <x:v>2.7916666666666665</x:v>
      </x:c>
      <x:c r="L6" s="60" t="n">
        <x:f>IF(I6&gt;0,F6/I6,"")</x:f>
        <x:v>0.41358024691358025</x:v>
      </x:c>
      <x:c r="M6" s="54" t="n">
        <x:f>IF(F6&gt;0,G6/F6,"")</x:f>
        <x:v>6.701492537313433</x:v>
      </x:c>
      <x:c r="N6" s="24" t="str">
        <x:f>IF(AND(E6&lt;=0,F6&gt;0),"数据异常",IF(E6&lt;=0,"人数缺失",IF(F6&lt;=0,"无开场/待核实",IF(G6&lt;=0,"成本缺失",IF('规则参数'!$B$23&lt;&gt;"是","成本周期待确认","完整")))))</x:f>
        <x:v>成本周期待确认</x:v>
      </x:c>
      <x:c r="O6" s="24" t="str">
        <x:f>IF(OR(E6&lt;=0,F6&lt;=0),"数据异常",IF(OR(K6&gt;='规则参数'!$B$16,L6&gt;='规则参数'!$B$17),"高峰偏紧",IF(OR(H6&gt;'规则参数'!$B$12,J6&gt;'规则参数'!$B$14),"结构偏紧",IF(AND(H6&lt;'规则参数'!$B$11,K6&lt;'规则参数'!$B$15),"复位偏松","配置合理"))))</x:f>
        <x:v>配置合理</x:v>
      </x:c>
      <x:c r="P6" s="24" t="str">
        <x:f>IF(O6="数据异常","人数、波次或成本不完整，不能评价配置。",IF(O6="高峰偏紧","两天高峰实际承接强度或理论利用率过高。",IF(O6="结构偏紧","单人负责主题过多，需防止高峰服务风险。",IF(O6="复位偏松","结构负荷与实际波次同时偏低，可能存在工时浪费。","实际承接与结构负荷处于合理区间。"))))</x:f>
        <x:v>实际承接与结构负荷处于合理区间。</x:v>
      </x:c>
      <x:c r="Q6" s="24" t="str">
        <x:f>IF(O6="数据异常","先补齐或核实人数、波次和成本。",IF(O6="高峰偏紧","增加高峰支持或错峰排班，避免服务风险。",IF(O6="结构偏紧","观察两周并准备高峰机动支援。",IF(O6="复位偏松","先减低峰工时，再减低效工时；连续3周后才替换。","保持配置，继续周度跟踪。"))))</x:f>
        <x:v>保持配置，继续周度跟踪。</x:v>
      </x:c>
    </x:row>
    <x:row r="7">
      <x:c r="A7" s="24" t="str">
        <x:f>'门店周数据录入'!A7</x:f>
        <x:v>1区</x:v>
      </x:c>
      <x:c r="B7" s="24" t="str">
        <x:f>'门店周数据录入'!B7</x:f>
        <x:v>南阳万达</x:v>
      </x:c>
      <x:c r="C7" s="24" t="str">
        <x:f>'门店周数据录入'!C7</x:f>
        <x:v>B类</x:v>
      </x:c>
      <x:c r="D7" s="54" t="n">
        <x:f>'门店周数据录入'!D7</x:f>
        <x:v>18</x:v>
      </x:c>
      <x:c r="E7" s="54" t="n">
        <x:f>'门店周数据录入'!Q7</x:f>
        <x:v>4</x:v>
      </x:c>
      <x:c r="F7" s="54" t="n">
        <x:f>'门店周数据录入'!R7</x:f>
        <x:v>132</x:v>
      </x:c>
      <x:c r="G7" s="54" t="n">
        <x:f>'门店周数据录入'!S7</x:f>
        <x:v>1967</x:v>
      </x:c>
      <x:c r="H7" s="54" t="n">
        <x:f>IF(E7&gt;0,D7/E7,"")</x:f>
        <x:v>4.5</x:v>
      </x:c>
      <x:c r="I7" s="54" t="n">
        <x:f>D7*'规则参数'!$B$4*'规则参数'!$B$5*60/'规则参数'!$B$6</x:f>
        <x:v>324</x:v>
      </x:c>
      <x:c r="J7" s="54" t="n">
        <x:f>IF(E7&gt;0,I7/E7/('规则参数'!$B$4*'规则参数'!$B$5),"")</x:f>
        <x:v>6.75</x:v>
      </x:c>
      <x:c r="K7" s="54" t="n">
        <x:f>IF(E7&gt;0,F7/E7/('规则参数'!$B$4*'规则参数'!$B$5),"")</x:f>
        <x:v>2.75</x:v>
      </x:c>
      <x:c r="L7" s="60" t="n">
        <x:f>IF(I7&gt;0,F7/I7,"")</x:f>
        <x:v>0.4074074074074074</x:v>
      </x:c>
      <x:c r="M7" s="54" t="n">
        <x:f>IF(F7&gt;0,G7/F7,"")</x:f>
        <x:v>14.901515151515152</x:v>
      </x:c>
      <x:c r="N7" s="24" t="str">
        <x:f>IF(AND(E7&lt;=0,F7&gt;0),"数据异常",IF(E7&lt;=0,"人数缺失",IF(F7&lt;=0,"无开场/待核实",IF(G7&lt;=0,"成本缺失",IF('规则参数'!$B$23&lt;&gt;"是","成本周期待确认","完整")))))</x:f>
        <x:v>成本周期待确认</x:v>
      </x:c>
      <x:c r="O7" s="24" t="str">
        <x:f>IF(OR(E7&lt;=0,F7&lt;=0),"数据异常",IF(OR(K7&gt;='规则参数'!$B$16,L7&gt;='规则参数'!$B$17),"高峰偏紧",IF(OR(H7&gt;'规则参数'!$B$12,J7&gt;'规则参数'!$B$14),"结构偏紧",IF(AND(H7&lt;'规则参数'!$B$11,K7&lt;'规则参数'!$B$15),"复位偏松","配置合理"))))</x:f>
        <x:v>配置合理</x:v>
      </x:c>
      <x:c r="P7" s="24" t="str">
        <x:f>IF(O7="数据异常","人数、波次或成本不完整，不能评价配置。",IF(O7="高峰偏紧","两天高峰实际承接强度或理论利用率过高。",IF(O7="结构偏紧","单人负责主题过多，需防止高峰服务风险。",IF(O7="复位偏松","结构负荷与实际波次同时偏低，可能存在工时浪费。","实际承接与结构负荷处于合理区间。"))))</x:f>
        <x:v>实际承接与结构负荷处于合理区间。</x:v>
      </x:c>
      <x:c r="Q7" s="24" t="str">
        <x:f>IF(O7="数据异常","先补齐或核实人数、波次和成本。",IF(O7="高峰偏紧","增加高峰支持或错峰排班，避免服务风险。",IF(O7="结构偏紧","观察两周并准备高峰机动支援。",IF(O7="复位偏松","先减低峰工时，再减低效工时；连续3周后才替换。","保持配置，继续周度跟踪。"))))</x:f>
        <x:v>保持配置，继续周度跟踪。</x:v>
      </x:c>
    </x:row>
    <x:row r="8">
      <x:c r="A8" s="24" t="str">
        <x:f>'门店周数据录入'!A8</x:f>
        <x:v>1区</x:v>
      </x:c>
      <x:c r="B8" s="24" t="str">
        <x:f>'门店周数据录入'!B8</x:f>
        <x:v>南阳吾悦</x:v>
      </x:c>
      <x:c r="C8" s="24" t="str">
        <x:f>'门店周数据录入'!C8</x:f>
        <x:v>A类</x:v>
      </x:c>
      <x:c r="D8" s="54" t="n">
        <x:f>'门店周数据录入'!D8</x:f>
        <x:v>14</x:v>
      </x:c>
      <x:c r="E8" s="54" t="n">
        <x:f>'门店周数据录入'!Q8</x:f>
        <x:v>4</x:v>
      </x:c>
      <x:c r="F8" s="54" t="n">
        <x:f>'门店周数据录入'!R8</x:f>
        <x:v>120</x:v>
      </x:c>
      <x:c r="G8" s="54" t="n">
        <x:f>'门店周数据录入'!S8</x:f>
        <x:v>2052</x:v>
      </x:c>
      <x:c r="H8" s="54" t="n">
        <x:f>IF(E8&gt;0,D8/E8,"")</x:f>
        <x:v>3.5</x:v>
      </x:c>
      <x:c r="I8" s="54" t="n">
        <x:f>D8*'规则参数'!$B$4*'规则参数'!$B$5*60/'规则参数'!$B$6</x:f>
        <x:v>252</x:v>
      </x:c>
      <x:c r="J8" s="54" t="n">
        <x:f>IF(E8&gt;0,I8/E8/('规则参数'!$B$4*'规则参数'!$B$5),"")</x:f>
        <x:v>5.25</x:v>
      </x:c>
      <x:c r="K8" s="54" t="n">
        <x:f>IF(E8&gt;0,F8/E8/('规则参数'!$B$4*'规则参数'!$B$5),"")</x:f>
        <x:v>2.5</x:v>
      </x:c>
      <x:c r="L8" s="60" t="n">
        <x:f>IF(I8&gt;0,F8/I8,"")</x:f>
        <x:v>0.47619047619047616</x:v>
      </x:c>
      <x:c r="M8" s="54" t="n">
        <x:f>IF(F8&gt;0,G8/F8,"")</x:f>
        <x:v>17.1</x:v>
      </x:c>
      <x:c r="N8" s="24" t="str">
        <x:f>IF(AND(E8&lt;=0,F8&gt;0),"数据异常",IF(E8&lt;=0,"人数缺失",IF(F8&lt;=0,"无开场/待核实",IF(G8&lt;=0,"成本缺失",IF('规则参数'!$B$23&lt;&gt;"是","成本周期待确认","完整")))))</x:f>
        <x:v>成本周期待确认</x:v>
      </x:c>
      <x:c r="O8" s="24" t="str">
        <x:f>IF(OR(E8&lt;=0,F8&lt;=0),"数据异常",IF(OR(K8&gt;='规则参数'!$B$16,L8&gt;='规则参数'!$B$17),"高峰偏紧",IF(OR(H8&gt;'规则参数'!$B$12,J8&gt;'规则参数'!$B$14),"结构偏紧",IF(AND(H8&lt;'规则参数'!$B$11,K8&lt;'规则参数'!$B$15),"复位偏松","配置合理"))))</x:f>
        <x:v>配置合理</x:v>
      </x:c>
      <x:c r="P8" s="24" t="str">
        <x:f>IF(O8="数据异常","人数、波次或成本不完整，不能评价配置。",IF(O8="高峰偏紧","两天高峰实际承接强度或理论利用率过高。",IF(O8="结构偏紧","单人负责主题过多，需防止高峰服务风险。",IF(O8="复位偏松","结构负荷与实际波次同时偏低，可能存在工时浪费。","实际承接与结构负荷处于合理区间。"))))</x:f>
        <x:v>实际承接与结构负荷处于合理区间。</x:v>
      </x:c>
      <x:c r="Q8" s="24" t="str">
        <x:f>IF(O8="数据异常","先补齐或核实人数、波次和成本。",IF(O8="高峰偏紧","增加高峰支持或错峰排班，避免服务风险。",IF(O8="结构偏紧","观察两周并准备高峰机动支援。",IF(O8="复位偏松","先减低峰工时，再减低效工时；连续3周后才替换。","保持配置，继续周度跟踪。"))))</x:f>
        <x:v>保持配置，继续周度跟踪。</x:v>
      </x:c>
    </x:row>
    <x:row r="9">
      <x:c r="A9" s="24" t="str">
        <x:f>'门店周数据录入'!A9</x:f>
        <x:v>2区</x:v>
      </x:c>
      <x:c r="B9" s="24" t="str">
        <x:f>'门店周数据录入'!B9</x:f>
        <x:v>周口万达</x:v>
      </x:c>
      <x:c r="C9" s="24" t="str">
        <x:f>'门店周数据录入'!C9</x:f>
        <x:v>C类</x:v>
      </x:c>
      <x:c r="D9" s="54" t="n">
        <x:f>'门店周数据录入'!D9</x:f>
        <x:v>9</x:v>
      </x:c>
      <x:c r="E9" s="54" t="n">
        <x:f>'门店周数据录入'!Q9</x:f>
        <x:v>1</x:v>
      </x:c>
      <x:c r="F9" s="54" t="n">
        <x:f>'门店周数据录入'!R9</x:f>
        <x:v>97</x:v>
      </x:c>
      <x:c r="G9" s="54" t="n">
        <x:f>'门店周数据录入'!S9</x:f>
        <x:v>304</x:v>
      </x:c>
      <x:c r="H9" s="54" t="n">
        <x:f>IF(E9&gt;0,D9/E9,"")</x:f>
        <x:v>9</x:v>
      </x:c>
      <x:c r="I9" s="54" t="n">
        <x:f>D9*'规则参数'!$B$4*'规则参数'!$B$5*60/'规则参数'!$B$6</x:f>
        <x:v>162</x:v>
      </x:c>
      <x:c r="J9" s="54" t="n">
        <x:f>IF(E9&gt;0,I9/E9/('规则参数'!$B$4*'规则参数'!$B$5),"")</x:f>
        <x:v>13.5</x:v>
      </x:c>
      <x:c r="K9" s="54" t="n">
        <x:f>IF(E9&gt;0,F9/E9/('规则参数'!$B$4*'规则参数'!$B$5),"")</x:f>
        <x:v>8.083333333333334</x:v>
      </x:c>
      <x:c r="L9" s="60" t="n">
        <x:f>IF(I9&gt;0,F9/I9,"")</x:f>
        <x:v>0.5987654320987654</x:v>
      </x:c>
      <x:c r="M9" s="54" t="n">
        <x:f>IF(F9&gt;0,G9/F9,"")</x:f>
        <x:v>3.134020618556701</x:v>
      </x:c>
      <x:c r="N9" s="24" t="str">
        <x:f>IF(AND(E9&lt;=0,F9&gt;0),"数据异常",IF(E9&lt;=0,"人数缺失",IF(F9&lt;=0,"无开场/待核实",IF(G9&lt;=0,"成本缺失",IF('规则参数'!$B$23&lt;&gt;"是","成本周期待确认","完整")))))</x:f>
        <x:v>成本周期待确认</x:v>
      </x:c>
      <x:c r="O9" s="24" t="str">
        <x:f>IF(OR(E9&lt;=0,F9&lt;=0),"数据异常",IF(OR(K9&gt;='规则参数'!$B$16,L9&gt;='规则参数'!$B$17),"高峰偏紧",IF(OR(H9&gt;'规则参数'!$B$12,J9&gt;'规则参数'!$B$14),"结构偏紧",IF(AND(H9&lt;'规则参数'!$B$11,K9&lt;'规则参数'!$B$15),"复位偏松","配置合理"))))</x:f>
        <x:v>高峰偏紧</x:v>
      </x:c>
      <x:c r="P9" s="24" t="str">
        <x:f>IF(O9="数据异常","人数、波次或成本不完整，不能评价配置。",IF(O9="高峰偏紧","两天高峰实际承接强度或理论利用率过高。",IF(O9="结构偏紧","单人负责主题过多，需防止高峰服务风险。",IF(O9="复位偏松","结构负荷与实际波次同时偏低，可能存在工时浪费。","实际承接与结构负荷处于合理区间。"))))</x:f>
        <x:v>两天高峰实际承接强度或理论利用率过高。</x:v>
      </x:c>
      <x:c r="Q9" s="24" t="str">
        <x:f>IF(O9="数据异常","先补齐或核实人数、波次和成本。",IF(O9="高峰偏紧","增加高峰支持或错峰排班，避免服务风险。",IF(O9="结构偏紧","观察两周并准备高峰机动支援。",IF(O9="复位偏松","先减低峰工时，再减低效工时；连续3周后才替换。","保持配置，继续周度跟踪。"))))</x:f>
        <x:v>增加高峰支持或错峰排班，避免服务风险。</x:v>
      </x:c>
    </x:row>
    <x:row r="10">
      <x:c r="A10" s="24" t="str">
        <x:f>'门店周数据录入'!A10</x:f>
        <x:v>1区</x:v>
      </x:c>
      <x:c r="B10" s="24" t="str">
        <x:f>'门店周数据录入'!B10</x:f>
        <x:v>商丘万达</x:v>
      </x:c>
      <x:c r="C10" s="24" t="str">
        <x:f>'门店周数据录入'!C10</x:f>
        <x:v>C类</x:v>
      </x:c>
      <x:c r="D10" s="54" t="n">
        <x:f>'门店周数据录入'!D10</x:f>
        <x:v>13</x:v>
      </x:c>
      <x:c r="E10" s="54" t="n">
        <x:f>'门店周数据录入'!Q10</x:f>
        <x:v>3</x:v>
      </x:c>
      <x:c r="F10" s="54" t="n">
        <x:f>'门店周数据录入'!R10</x:f>
        <x:v>85</x:v>
      </x:c>
      <x:c r="G10" s="54" t="n">
        <x:f>'门店周数据录入'!S10</x:f>
        <x:v>1809</x:v>
      </x:c>
      <x:c r="H10" s="54" t="n">
        <x:f>IF(E10&gt;0,D10/E10,"")</x:f>
        <x:v>4.333333333333333</x:v>
      </x:c>
      <x:c r="I10" s="54" t="n">
        <x:f>D10*'规则参数'!$B$4*'规则参数'!$B$5*60/'规则参数'!$B$6</x:f>
        <x:v>234</x:v>
      </x:c>
      <x:c r="J10" s="54" t="n">
        <x:f>IF(E10&gt;0,I10/E10/('规则参数'!$B$4*'规则参数'!$B$5),"")</x:f>
        <x:v>6.5</x:v>
      </x:c>
      <x:c r="K10" s="54" t="n">
        <x:f>IF(E10&gt;0,F10/E10/('规则参数'!$B$4*'规则参数'!$B$5),"")</x:f>
        <x:v>2.361111111111111</x:v>
      </x:c>
      <x:c r="L10" s="60" t="n">
        <x:f>IF(I10&gt;0,F10/I10,"")</x:f>
        <x:v>0.36324786324786323</x:v>
      </x:c>
      <x:c r="M10" s="54" t="n">
        <x:f>IF(F10&gt;0,G10/F10,"")</x:f>
        <x:v>21.28235294117647</x:v>
      </x:c>
      <x:c r="N10" s="24" t="str">
        <x:f>IF(AND(E10&lt;=0,F10&gt;0),"数据异常",IF(E10&lt;=0,"人数缺失",IF(F10&lt;=0,"无开场/待核实",IF(G10&lt;=0,"成本缺失",IF('规则参数'!$B$23&lt;&gt;"是","成本周期待确认","完整")))))</x:f>
        <x:v>成本周期待确认</x:v>
      </x:c>
      <x:c r="O10" s="24" t="str">
        <x:f>IF(OR(E10&lt;=0,F10&lt;=0),"数据异常",IF(OR(K10&gt;='规则参数'!$B$16,L10&gt;='规则参数'!$B$17),"高峰偏紧",IF(OR(H10&gt;'规则参数'!$B$12,J10&gt;'规则参数'!$B$14),"结构偏紧",IF(AND(H10&lt;'规则参数'!$B$11,K10&lt;'规则参数'!$B$15),"复位偏松","配置合理"))))</x:f>
        <x:v>配置合理</x:v>
      </x:c>
      <x:c r="P10" s="24" t="str">
        <x:f>IF(O10="数据异常","人数、波次或成本不完整，不能评价配置。",IF(O10="高峰偏紧","两天高峰实际承接强度或理论利用率过高。",IF(O10="结构偏紧","单人负责主题过多，需防止高峰服务风险。",IF(O10="复位偏松","结构负荷与实际波次同时偏低，可能存在工时浪费。","实际承接与结构负荷处于合理区间。"))))</x:f>
        <x:v>实际承接与结构负荷处于合理区间。</x:v>
      </x:c>
      <x:c r="Q10" s="24" t="str">
        <x:f>IF(O10="数据异常","先补齐或核实人数、波次和成本。",IF(O10="高峰偏紧","增加高峰支持或错峰排班，避免服务风险。",IF(O10="结构偏紧","观察两周并准备高峰机动支援。",IF(O10="复位偏松","先减低峰工时，再减低效工时；连续3周后才替换。","保持配置，继续周度跟踪。"))))</x:f>
        <x:v>保持配置，继续周度跟踪。</x:v>
      </x:c>
    </x:row>
    <x:row r="11">
      <x:c r="A11" s="24" t="str">
        <x:f>'门店周数据录入'!A11</x:f>
        <x:v>3区</x:v>
      </x:c>
      <x:c r="B11" s="24" t="str">
        <x:f>'门店周数据录入'!B11</x:f>
        <x:v>安阳万达</x:v>
      </x:c>
      <x:c r="C11" s="24" t="str">
        <x:f>'门店周数据录入'!C11</x:f>
        <x:v>C类</x:v>
      </x:c>
      <x:c r="D11" s="54" t="n">
        <x:f>'门店周数据录入'!D11</x:f>
        <x:v>10</x:v>
      </x:c>
      <x:c r="E11" s="54" t="n">
        <x:f>'门店周数据录入'!Q11</x:f>
        <x:v>4</x:v>
      </x:c>
      <x:c r="F11" s="54" t="n">
        <x:f>'门店周数据录入'!R11</x:f>
        <x:v>38</x:v>
      </x:c>
      <x:c r="G11" s="54" t="n">
        <x:f>'门店周数据录入'!S11</x:f>
        <x:v>1158</x:v>
      </x:c>
      <x:c r="H11" s="54" t="n">
        <x:f>IF(E11&gt;0,D11/E11,"")</x:f>
        <x:v>2.5</x:v>
      </x:c>
      <x:c r="I11" s="54" t="n">
        <x:f>D11*'规则参数'!$B$4*'规则参数'!$B$5*60/'规则参数'!$B$6</x:f>
        <x:v>180</x:v>
      </x:c>
      <x:c r="J11" s="54" t="n">
        <x:f>IF(E11&gt;0,I11/E11/('规则参数'!$B$4*'规则参数'!$B$5),"")</x:f>
        <x:v>3.75</x:v>
      </x:c>
      <x:c r="K11" s="54" t="n">
        <x:f>IF(E11&gt;0,F11/E11/('规则参数'!$B$4*'规则参数'!$B$5),"")</x:f>
        <x:v>0.7916666666666666</x:v>
      </x:c>
      <x:c r="L11" s="60" t="n">
        <x:f>IF(I11&gt;0,F11/I11,"")</x:f>
        <x:v>0.2111111111111111</x:v>
      </x:c>
      <x:c r="M11" s="54" t="n">
        <x:f>IF(F11&gt;0,G11/F11,"")</x:f>
        <x:v>30.473684210526315</x:v>
      </x:c>
      <x:c r="N11" s="24" t="str">
        <x:f>IF(AND(E11&lt;=0,F11&gt;0),"数据异常",IF(E11&lt;=0,"人数缺失",IF(F11&lt;=0,"无开场/待核实",IF(G11&lt;=0,"成本缺失",IF('规则参数'!$B$23&lt;&gt;"是","成本周期待确认","完整")))))</x:f>
        <x:v>成本周期待确认</x:v>
      </x:c>
      <x:c r="O11" s="24" t="str">
        <x:f>IF(OR(E11&lt;=0,F11&lt;=0),"数据异常",IF(OR(K11&gt;='规则参数'!$B$16,L11&gt;='规则参数'!$B$17),"高峰偏紧",IF(OR(H11&gt;'规则参数'!$B$12,J11&gt;'规则参数'!$B$14),"结构偏紧",IF(AND(H11&lt;'规则参数'!$B$11,K11&lt;'规则参数'!$B$15),"复位偏松","配置合理"))))</x:f>
        <x:v>配置合理</x:v>
      </x:c>
      <x:c r="P11" s="24" t="str">
        <x:f>IF(O11="数据异常","人数、波次或成本不完整，不能评价配置。",IF(O11="高峰偏紧","两天高峰实际承接强度或理论利用率过高。",IF(O11="结构偏紧","单人负责主题过多，需防止高峰服务风险。",IF(O11="复位偏松","结构负荷与实际波次同时偏低，可能存在工时浪费。","实际承接与结构负荷处于合理区间。"))))</x:f>
        <x:v>实际承接与结构负荷处于合理区间。</x:v>
      </x:c>
      <x:c r="Q11" s="24" t="str">
        <x:f>IF(O11="数据异常","先补齐或核实人数、波次和成本。",IF(O11="高峰偏紧","增加高峰支持或错峰排班，避免服务风险。",IF(O11="结构偏紧","观察两周并准备高峰机动支援。",IF(O11="复位偏松","先减低峰工时，再减低效工时；连续3周后才替换。","保持配置，继续周度跟踪。"))))</x:f>
        <x:v>保持配置，继续周度跟踪。</x:v>
      </x:c>
    </x:row>
    <x:row r="12">
      <x:c r="A12" s="24" t="str">
        <x:f>'门店周数据录入'!A12</x:f>
        <x:v>3区</x:v>
      </x:c>
      <x:c r="B12" s="24" t="str">
        <x:f>'门店周数据录入'!B12</x:f>
        <x:v>开封万达</x:v>
      </x:c>
      <x:c r="C12" s="24" t="str">
        <x:f>'门店周数据录入'!C12</x:f>
        <x:v>A类</x:v>
      </x:c>
      <x:c r="D12" s="54" t="n">
        <x:f>'门店周数据录入'!D12</x:f>
        <x:v>13</x:v>
      </x:c>
      <x:c r="E12" s="54" t="n">
        <x:f>'门店周数据录入'!Q12</x:f>
        <x:v>3</x:v>
      </x:c>
      <x:c r="F12" s="54" t="n">
        <x:f>'门店周数据录入'!R12</x:f>
        <x:v>106</x:v>
      </x:c>
      <x:c r="G12" s="54" t="n">
        <x:f>'门店周数据录入'!S12</x:f>
        <x:v>521</x:v>
      </x:c>
      <x:c r="H12" s="54" t="n">
        <x:f>IF(E12&gt;0,D12/E12,"")</x:f>
        <x:v>4.333333333333333</x:v>
      </x:c>
      <x:c r="I12" s="54" t="n">
        <x:f>D12*'规则参数'!$B$4*'规则参数'!$B$5*60/'规则参数'!$B$6</x:f>
        <x:v>234</x:v>
      </x:c>
      <x:c r="J12" s="54" t="n">
        <x:f>IF(E12&gt;0,I12/E12/('规则参数'!$B$4*'规则参数'!$B$5),"")</x:f>
        <x:v>6.5</x:v>
      </x:c>
      <x:c r="K12" s="54" t="n">
        <x:f>IF(E12&gt;0,F12/E12/('规则参数'!$B$4*'规则参数'!$B$5),"")</x:f>
        <x:v>2.9444444444444446</x:v>
      </x:c>
      <x:c r="L12" s="60" t="n">
        <x:f>IF(I12&gt;0,F12/I12,"")</x:f>
        <x:v>0.452991452991453</x:v>
      </x:c>
      <x:c r="M12" s="54" t="n">
        <x:f>IF(F12&gt;0,G12/F12,"")</x:f>
        <x:v>4.915094339622642</x:v>
      </x:c>
      <x:c r="N12" s="24" t="str">
        <x:f>IF(AND(E12&lt;=0,F12&gt;0),"数据异常",IF(E12&lt;=0,"人数缺失",IF(F12&lt;=0,"无开场/待核实",IF(G12&lt;=0,"成本缺失",IF('规则参数'!$B$23&lt;&gt;"是","成本周期待确认","完整")))))</x:f>
        <x:v>成本周期待确认</x:v>
      </x:c>
      <x:c r="O12" s="24" t="str">
        <x:f>IF(OR(E12&lt;=0,F12&lt;=0),"数据异常",IF(OR(K12&gt;='规则参数'!$B$16,L12&gt;='规则参数'!$B$17),"高峰偏紧",IF(OR(H12&gt;'规则参数'!$B$12,J12&gt;'规则参数'!$B$14),"结构偏紧",IF(AND(H12&lt;'规则参数'!$B$11,K12&lt;'规则参数'!$B$15),"复位偏松","配置合理"))))</x:f>
        <x:v>配置合理</x:v>
      </x:c>
      <x:c r="P12" s="24" t="str">
        <x:f>IF(O12="数据异常","人数、波次或成本不完整，不能评价配置。",IF(O12="高峰偏紧","两天高峰实际承接强度或理论利用率过高。",IF(O12="结构偏紧","单人负责主题过多，需防止高峰服务风险。",IF(O12="复位偏松","结构负荷与实际波次同时偏低，可能存在工时浪费。","实际承接与结构负荷处于合理区间。"))))</x:f>
        <x:v>实际承接与结构负荷处于合理区间。</x:v>
      </x:c>
      <x:c r="Q12" s="24" t="str">
        <x:f>IF(O12="数据异常","先补齐或核实人数、波次和成本。",IF(O12="高峰偏紧","增加高峰支持或错峰排班，避免服务风险。",IF(O12="结构偏紧","观察两周并准备高峰机动支援。",IF(O12="复位偏松","先减低峰工时，再减低效工时；连续3周后才替换。","保持配置，继续周度跟踪。"))))</x:f>
        <x:v>保持配置，继续周度跟踪。</x:v>
      </x:c>
    </x:row>
    <x:row r="13">
      <x:c r="A13" s="24" t="str">
        <x:f>'门店周数据录入'!A13</x:f>
        <x:v>2区</x:v>
      </x:c>
      <x:c r="B13" s="24" t="str">
        <x:f>'门店周数据录入'!B13</x:f>
        <x:v>惠济万达</x:v>
      </x:c>
      <x:c r="C13" s="24" t="str">
        <x:f>'门店周数据录入'!C13</x:f>
        <x:v>B类</x:v>
      </x:c>
      <x:c r="D13" s="54" t="n">
        <x:f>'门店周数据录入'!D13</x:f>
        <x:v>10</x:v>
      </x:c>
      <x:c r="E13" s="54" t="n">
        <x:f>'门店周数据录入'!Q13</x:f>
        <x:v>4</x:v>
      </x:c>
      <x:c r="F13" s="54" t="n">
        <x:f>'门店周数据录入'!R13</x:f>
        <x:v>97</x:v>
      </x:c>
      <x:c r="G13" s="54" t="n">
        <x:f>'门店周数据录入'!S13</x:f>
        <x:v>965</x:v>
      </x:c>
      <x:c r="H13" s="54" t="n">
        <x:f>IF(E13&gt;0,D13/E13,"")</x:f>
        <x:v>2.5</x:v>
      </x:c>
      <x:c r="I13" s="54" t="n">
        <x:f>D13*'规则参数'!$B$4*'规则参数'!$B$5*60/'规则参数'!$B$6</x:f>
        <x:v>180</x:v>
      </x:c>
      <x:c r="J13" s="54" t="n">
        <x:f>IF(E13&gt;0,I13/E13/('规则参数'!$B$4*'规则参数'!$B$5),"")</x:f>
        <x:v>3.75</x:v>
      </x:c>
      <x:c r="K13" s="54" t="n">
        <x:f>IF(E13&gt;0,F13/E13/('规则参数'!$B$4*'规则参数'!$B$5),"")</x:f>
        <x:v>2.0208333333333335</x:v>
      </x:c>
      <x:c r="L13" s="60" t="n">
        <x:f>IF(I13&gt;0,F13/I13,"")</x:f>
        <x:v>0.5388888888888889</x:v>
      </x:c>
      <x:c r="M13" s="54" t="n">
        <x:f>IF(F13&gt;0,G13/F13,"")</x:f>
        <x:v>9.948453608247423</x:v>
      </x:c>
      <x:c r="N13" s="24" t="str">
        <x:f>IF(AND(E13&lt;=0,F13&gt;0),"数据异常",IF(E13&lt;=0,"人数缺失",IF(F13&lt;=0,"无开场/待核实",IF(G13&lt;=0,"成本缺失",IF('规则参数'!$B$23&lt;&gt;"是","成本周期待确认","完整")))))</x:f>
        <x:v>成本周期待确认</x:v>
      </x:c>
      <x:c r="O13" s="24" t="str">
        <x:f>IF(OR(E13&lt;=0,F13&lt;=0),"数据异常",IF(OR(K13&gt;='规则参数'!$B$16,L13&gt;='规则参数'!$B$17),"高峰偏紧",IF(OR(H13&gt;'规则参数'!$B$12,J13&gt;'规则参数'!$B$14),"结构偏紧",IF(AND(H13&lt;'规则参数'!$B$11,K13&lt;'规则参数'!$B$15),"复位偏松","配置合理"))))</x:f>
        <x:v>配置合理</x:v>
      </x:c>
      <x:c r="P13" s="24" t="str">
        <x:f>IF(O13="数据异常","人数、波次或成本不完整，不能评价配置。",IF(O13="高峰偏紧","两天高峰实际承接强度或理论利用率过高。",IF(O13="结构偏紧","单人负责主题过多，需防止高峰服务风险。",IF(O13="复位偏松","结构负荷与实际波次同时偏低，可能存在工时浪费。","实际承接与结构负荷处于合理区间。"))))</x:f>
        <x:v>实际承接与结构负荷处于合理区间。</x:v>
      </x:c>
      <x:c r="Q13" s="24" t="str">
        <x:f>IF(O13="数据异常","先补齐或核实人数、波次和成本。",IF(O13="高峰偏紧","增加高峰支持或错峰排班，避免服务风险。",IF(O13="结构偏紧","观察两周并准备高峰机动支援。",IF(O13="复位偏松","先减低峰工时，再减低效工时；连续3周后才替换。","保持配置，继续周度跟踪。"))))</x:f>
        <x:v>保持配置，继续周度跟踪。</x:v>
      </x:c>
    </x:row>
    <x:row r="14">
      <x:c r="A14" s="24" t="str">
        <x:f>'门店周数据录入'!A14</x:f>
        <x:v>2区</x:v>
      </x:c>
      <x:c r="B14" s="24" t="str">
        <x:f>'门店周数据录入'!B14</x:f>
        <x:v>新乡万达</x:v>
      </x:c>
      <x:c r="C14" s="24" t="str">
        <x:f>'门店周数据录入'!C14</x:f>
        <x:v>C类</x:v>
      </x:c>
      <x:c r="D14" s="54" t="n">
        <x:f>'门店周数据录入'!D14</x:f>
        <x:v>13</x:v>
      </x:c>
      <x:c r="E14" s="54" t="n">
        <x:f>'门店周数据录入'!Q14</x:f>
        <x:v>5</x:v>
      </x:c>
      <x:c r="F14" s="54" t="n">
        <x:f>'门店周数据录入'!R14</x:f>
        <x:v>124</x:v>
      </x:c>
      <x:c r="G14" s="54" t="n">
        <x:f>'门店周数据录入'!S14</x:f>
        <x:v>1504</x:v>
      </x:c>
      <x:c r="H14" s="54" t="n">
        <x:f>IF(E14&gt;0,D14/E14,"")</x:f>
        <x:v>2.6</x:v>
      </x:c>
      <x:c r="I14" s="54" t="n">
        <x:f>D14*'规则参数'!$B$4*'规则参数'!$B$5*60/'规则参数'!$B$6</x:f>
        <x:v>234</x:v>
      </x:c>
      <x:c r="J14" s="54" t="n">
        <x:f>IF(E14&gt;0,I14/E14/('规则参数'!$B$4*'规则参数'!$B$5),"")</x:f>
        <x:v>3.9</x:v>
      </x:c>
      <x:c r="K14" s="54" t="n">
        <x:f>IF(E14&gt;0,F14/E14/('规则参数'!$B$4*'规则参数'!$B$5),"")</x:f>
        <x:v>2.066666666666667</x:v>
      </x:c>
      <x:c r="L14" s="60" t="n">
        <x:f>IF(I14&gt;0,F14/I14,"")</x:f>
        <x:v>0.5299145299145299</x:v>
      </x:c>
      <x:c r="M14" s="54" t="n">
        <x:f>IF(F14&gt;0,G14/F14,"")</x:f>
        <x:v>12.129032258064516</x:v>
      </x:c>
      <x:c r="N14" s="24" t="str">
        <x:f>IF(AND(E14&lt;=0,F14&gt;0),"数据异常",IF(E14&lt;=0,"人数缺失",IF(F14&lt;=0,"无开场/待核实",IF(G14&lt;=0,"成本缺失",IF('规则参数'!$B$23&lt;&gt;"是","成本周期待确认","完整")))))</x:f>
        <x:v>成本周期待确认</x:v>
      </x:c>
      <x:c r="O14" s="24" t="str">
        <x:f>IF(OR(E14&lt;=0,F14&lt;=0),"数据异常",IF(OR(K14&gt;='规则参数'!$B$16,L14&gt;='规则参数'!$B$17),"高峰偏紧",IF(OR(H14&gt;'规则参数'!$B$12,J14&gt;'规则参数'!$B$14),"结构偏紧",IF(AND(H14&lt;'规则参数'!$B$11,K14&lt;'规则参数'!$B$15),"复位偏松","配置合理"))))</x:f>
        <x:v>配置合理</x:v>
      </x:c>
      <x:c r="P14" s="24" t="str">
        <x:f>IF(O14="数据异常","人数、波次或成本不完整，不能评价配置。",IF(O14="高峰偏紧","两天高峰实际承接强度或理论利用率过高。",IF(O14="结构偏紧","单人负责主题过多，需防止高峰服务风险。",IF(O14="复位偏松","结构负荷与实际波次同时偏低，可能存在工时浪费。","实际承接与结构负荷处于合理区间。"))))</x:f>
        <x:v>实际承接与结构负荷处于合理区间。</x:v>
      </x:c>
      <x:c r="Q14" s="24" t="str">
        <x:f>IF(O14="数据异常","先补齐或核实人数、波次和成本。",IF(O14="高峰偏紧","增加高峰支持或错峰排班，避免服务风险。",IF(O14="结构偏紧","观察两周并准备高峰机动支援。",IF(O14="复位偏松","先减低峰工时，再减低效工时；连续3周后才替换。","保持配置，继续周度跟踪。"))))</x:f>
        <x:v>保持配置，继续周度跟踪。</x:v>
      </x:c>
    </x:row>
    <x:row r="15">
      <x:c r="A15" s="24" t="str">
        <x:f>'门店周数据录入'!A15</x:f>
        <x:v>3区</x:v>
      </x:c>
      <x:c r="B15" s="24" t="str">
        <x:f>'门店周数据录入'!B15</x:f>
        <x:v>武汉荟聚</x:v>
      </x:c>
      <x:c r="C15" s="24" t="str">
        <x:f>'门店周数据录入'!C15</x:f>
        <x:v>A类</x:v>
      </x:c>
      <x:c r="D15" s="54" t="n">
        <x:f>'门店周数据录入'!D15</x:f>
        <x:v>10</x:v>
      </x:c>
      <x:c r="E15" s="54" t="n">
        <x:f>'门店周数据录入'!Q15</x:f>
        <x:v>4</x:v>
      </x:c>
      <x:c r="F15" s="54" t="n">
        <x:f>'门店周数据录入'!R15</x:f>
        <x:v>132</x:v>
      </x:c>
      <x:c r="G15" s="54" t="n">
        <x:f>'门店周数据录入'!S15</x:f>
        <x:v>1815</x:v>
      </x:c>
      <x:c r="H15" s="54" t="n">
        <x:f>IF(E15&gt;0,D15/E15,"")</x:f>
        <x:v>2.5</x:v>
      </x:c>
      <x:c r="I15" s="54" t="n">
        <x:f>D15*'规则参数'!$B$4*'规则参数'!$B$5*60/'规则参数'!$B$6</x:f>
        <x:v>180</x:v>
      </x:c>
      <x:c r="J15" s="54" t="n">
        <x:f>IF(E15&gt;0,I15/E15/('规则参数'!$B$4*'规则参数'!$B$5),"")</x:f>
        <x:v>3.75</x:v>
      </x:c>
      <x:c r="K15" s="54" t="n">
        <x:f>IF(E15&gt;0,F15/E15/('规则参数'!$B$4*'规则参数'!$B$5),"")</x:f>
        <x:v>2.75</x:v>
      </x:c>
      <x:c r="L15" s="60" t="n">
        <x:f>IF(I15&gt;0,F15/I15,"")</x:f>
        <x:v>0.7333333333333333</x:v>
      </x:c>
      <x:c r="M15" s="54" t="n">
        <x:f>IF(F15&gt;0,G15/F15,"")</x:f>
        <x:v>13.75</x:v>
      </x:c>
      <x:c r="N15" s="24" t="str">
        <x:f>IF(AND(E15&lt;=0,F15&gt;0),"数据异常",IF(E15&lt;=0,"人数缺失",IF(F15&lt;=0,"无开场/待核实",IF(G15&lt;=0,"成本缺失",IF('规则参数'!$B$23&lt;&gt;"是","成本周期待确认","完整")))))</x:f>
        <x:v>成本周期待确认</x:v>
      </x:c>
      <x:c r="O15" s="24" t="str">
        <x:f>IF(OR(E15&lt;=0,F15&lt;=0),"数据异常",IF(OR(K15&gt;='规则参数'!$B$16,L15&gt;='规则参数'!$B$17),"高峰偏紧",IF(OR(H15&gt;'规则参数'!$B$12,J15&gt;'规则参数'!$B$14),"结构偏紧",IF(AND(H15&lt;'规则参数'!$B$11,K15&lt;'规则参数'!$B$15),"复位偏松","配置合理"))))</x:f>
        <x:v>配置合理</x:v>
      </x:c>
      <x:c r="P15" s="24" t="str">
        <x:f>IF(O15="数据异常","人数、波次或成本不完整，不能评价配置。",IF(O15="高峰偏紧","两天高峰实际承接强度或理论利用率过高。",IF(O15="结构偏紧","单人负责主题过多，需防止高峰服务风险。",IF(O15="复位偏松","结构负荷与实际波次同时偏低，可能存在工时浪费。","实际承接与结构负荷处于合理区间。"))))</x:f>
        <x:v>实际承接与结构负荷处于合理区间。</x:v>
      </x:c>
      <x:c r="Q15" s="24" t="str">
        <x:f>IF(O15="数据异常","先补齐或核实人数、波次和成本。",IF(O15="高峰偏紧","增加高峰支持或错峰排班，避免服务风险。",IF(O15="结构偏紧","观察两周并准备高峰机动支援。",IF(O15="复位偏松","先减低峰工时，再减低效工时；连续3周后才替换。","保持配置，继续周度跟踪。"))))</x:f>
        <x:v>保持配置，继续周度跟踪。</x:v>
      </x:c>
    </x:row>
    <x:row r="16">
      <x:c r="A16" s="24" t="str">
        <x:f>'门店周数据录入'!A16</x:f>
        <x:v>2区</x:v>
      </x:c>
      <x:c r="B16" s="24" t="str">
        <x:f>'门店周数据录入'!B16</x:f>
        <x:v>洛阳中州</x:v>
      </x:c>
      <x:c r="C16" s="24" t="str">
        <x:f>'门店周数据录入'!C16</x:f>
        <x:v>B类</x:v>
      </x:c>
      <x:c r="D16" s="54" t="n">
        <x:f>'门店周数据录入'!D16</x:f>
        <x:v>10</x:v>
      </x:c>
      <x:c r="E16" s="54" t="n">
        <x:f>'门店周数据录入'!Q16</x:f>
        <x:v>7</x:v>
      </x:c>
      <x:c r="F16" s="54" t="n">
        <x:f>'门店周数据录入'!R16</x:f>
        <x:v>180</x:v>
      </x:c>
      <x:c r="G16" s="54" t="n">
        <x:f>'门店周数据录入'!S16</x:f>
        <x:v>2629</x:v>
      </x:c>
      <x:c r="H16" s="54" t="n">
        <x:f>IF(E16&gt;0,D16/E16,"")</x:f>
        <x:v>1.4285714285714286</x:v>
      </x:c>
      <x:c r="I16" s="54" t="n">
        <x:f>D16*'规则参数'!$B$4*'规则参数'!$B$5*60/'规则参数'!$B$6</x:f>
        <x:v>180</x:v>
      </x:c>
      <x:c r="J16" s="54" t="n">
        <x:f>IF(E16&gt;0,I16/E16/('规则参数'!$B$4*'规则参数'!$B$5),"")</x:f>
        <x:v>2.142857142857143</x:v>
      </x:c>
      <x:c r="K16" s="54" t="n">
        <x:f>IF(E16&gt;0,F16/E16/('规则参数'!$B$4*'规则参数'!$B$5),"")</x:f>
        <x:v>2.142857142857143</x:v>
      </x:c>
      <x:c r="L16" s="60" t="n">
        <x:f>IF(I16&gt;0,F16/I16,"")</x:f>
        <x:v>1</x:v>
      </x:c>
      <x:c r="M16" s="54" t="n">
        <x:f>IF(F16&gt;0,G16/F16,"")</x:f>
        <x:v>14.605555555555556</x:v>
      </x:c>
      <x:c r="N16" s="24" t="str">
        <x:f>IF(AND(E16&lt;=0,F16&gt;0),"数据异常",IF(E16&lt;=0,"人数缺失",IF(F16&lt;=0,"无开场/待核实",IF(G16&lt;=0,"成本缺失",IF('规则参数'!$B$23&lt;&gt;"是","成本周期待确认","完整")))))</x:f>
        <x:v>成本周期待确认</x:v>
      </x:c>
      <x:c r="O16" s="24" t="str">
        <x:f>IF(OR(E16&lt;=0,F16&lt;=0),"数据异常",IF(OR(K16&gt;='规则参数'!$B$16,L16&gt;='规则参数'!$B$17),"高峰偏紧",IF(OR(H16&gt;'规则参数'!$B$12,J16&gt;'规则参数'!$B$14),"结构偏紧",IF(AND(H16&lt;'规则参数'!$B$11,K16&lt;'规则参数'!$B$15),"复位偏松","配置合理"))))</x:f>
        <x:v>高峰偏紧</x:v>
      </x:c>
      <x:c r="P16" s="24" t="str">
        <x:f>IF(O16="数据异常","人数、波次或成本不完整，不能评价配置。",IF(O16="高峰偏紧","两天高峰实际承接强度或理论利用率过高。",IF(O16="结构偏紧","单人负责主题过多，需防止高峰服务风险。",IF(O16="复位偏松","结构负荷与实际波次同时偏低，可能存在工时浪费。","实际承接与结构负荷处于合理区间。"))))</x:f>
        <x:v>两天高峰实际承接强度或理论利用率过高。</x:v>
      </x:c>
      <x:c r="Q16" s="24" t="str">
        <x:f>IF(O16="数据异常","先补齐或核实人数、波次和成本。",IF(O16="高峰偏紧","增加高峰支持或错峰排班，避免服务风险。",IF(O16="结构偏紧","观察两周并准备高峰机动支援。",IF(O16="复位偏松","先减低峰工时，再减低效工时；连续3周后才替换。","保持配置，继续周度跟踪。"))))</x:f>
        <x:v>增加高峰支持或错峰排班，避免服务风险。</x:v>
      </x:c>
    </x:row>
    <x:row r="17">
      <x:c r="A17" s="24" t="str">
        <x:f>'门店周数据录入'!A17</x:f>
        <x:v>2区</x:v>
      </x:c>
      <x:c r="B17" s="24" t="str">
        <x:f>'门店周数据录入'!B17</x:f>
        <x:v>洛阳泉舜</x:v>
      </x:c>
      <x:c r="C17" s="24" t="str">
        <x:f>'门店周数据录入'!C17</x:f>
        <x:v>A类</x:v>
      </x:c>
      <x:c r="D17" s="54" t="n">
        <x:f>'门店周数据录入'!D17</x:f>
        <x:v>12</x:v>
      </x:c>
      <x:c r="E17" s="54" t="n">
        <x:f>'门店周数据录入'!Q17</x:f>
        <x:v>4</x:v>
      </x:c>
      <x:c r="F17" s="54" t="n">
        <x:f>'门店周数据录入'!R17</x:f>
        <x:v>173</x:v>
      </x:c>
      <x:c r="G17" s="54" t="n">
        <x:f>'门店周数据录入'!S17</x:f>
        <x:v>1774</x:v>
      </x:c>
      <x:c r="H17" s="54" t="n">
        <x:f>IF(E17&gt;0,D17/E17,"")</x:f>
        <x:v>3</x:v>
      </x:c>
      <x:c r="I17" s="54" t="n">
        <x:f>D17*'规则参数'!$B$4*'规则参数'!$B$5*60/'规则参数'!$B$6</x:f>
        <x:v>216</x:v>
      </x:c>
      <x:c r="J17" s="54" t="n">
        <x:f>IF(E17&gt;0,I17/E17/('规则参数'!$B$4*'规则参数'!$B$5),"")</x:f>
        <x:v>4.5</x:v>
      </x:c>
      <x:c r="K17" s="54" t="n">
        <x:f>IF(E17&gt;0,F17/E17/('规则参数'!$B$4*'规则参数'!$B$5),"")</x:f>
        <x:v>3.6041666666666665</x:v>
      </x:c>
      <x:c r="L17" s="60" t="n">
        <x:f>IF(I17&gt;0,F17/I17,"")</x:f>
        <x:v>0.8009259259259259</x:v>
      </x:c>
      <x:c r="M17" s="54" t="n">
        <x:f>IF(F17&gt;0,G17/F17,"")</x:f>
        <x:v>10.254335260115607</x:v>
      </x:c>
      <x:c r="N17" s="24" t="str">
        <x:f>IF(AND(E17&lt;=0,F17&gt;0),"数据异常",IF(E17&lt;=0,"人数缺失",IF(F17&lt;=0,"无开场/待核实",IF(G17&lt;=0,"成本缺失",IF('规则参数'!$B$23&lt;&gt;"是","成本周期待确认","完整")))))</x:f>
        <x:v>成本周期待确认</x:v>
      </x:c>
      <x:c r="O17" s="24" t="str">
        <x:f>IF(OR(E17&lt;=0,F17&lt;=0),"数据异常",IF(OR(K17&gt;='规则参数'!$B$16,L17&gt;='规则参数'!$B$17),"高峰偏紧",IF(OR(H17&gt;'规则参数'!$B$12,J17&gt;'规则参数'!$B$14),"结构偏紧",IF(AND(H17&lt;'规则参数'!$B$11,K17&lt;'规则参数'!$B$15),"复位偏松","配置合理"))))</x:f>
        <x:v>配置合理</x:v>
      </x:c>
      <x:c r="P17" s="24" t="str">
        <x:f>IF(O17="数据异常","人数、波次或成本不完整，不能评价配置。",IF(O17="高峰偏紧","两天高峰实际承接强度或理论利用率过高。",IF(O17="结构偏紧","单人负责主题过多，需防止高峰服务风险。",IF(O17="复位偏松","结构负荷与实际波次同时偏低，可能存在工时浪费。","实际承接与结构负荷处于合理区间。"))))</x:f>
        <x:v>实际承接与结构负荷处于合理区间。</x:v>
      </x:c>
      <x:c r="Q17" s="24" t="str">
        <x:f>IF(O17="数据异常","先补齐或核实人数、波次和成本。",IF(O17="高峰偏紧","增加高峰支持或错峰排班，避免服务风险。",IF(O17="结构偏紧","观察两周并准备高峰机动支援。",IF(O17="复位偏松","先减低峰工时，再减低效工时；连续3周后才替换。","保持配置，继续周度跟踪。"))))</x:f>
        <x:v>保持配置，继续周度跟踪。</x:v>
      </x:c>
    </x:row>
    <x:row r="18">
      <x:c r="A18" s="24" t="str">
        <x:f>'门店周数据录入'!A18</x:f>
        <x:v>3区</x:v>
      </x:c>
      <x:c r="B18" s="24" t="str">
        <x:f>'门店周数据录入'!B18</x:f>
        <x:v>滑县吾悦</x:v>
      </x:c>
      <x:c r="C18" s="24" t="str">
        <x:f>'门店周数据录入'!C18</x:f>
        <x:v>C类</x:v>
      </x:c>
      <x:c r="D18" s="54" t="n">
        <x:f>'门店周数据录入'!D18</x:f>
        <x:v>8</x:v>
      </x:c>
      <x:c r="E18" s="54" t="n">
        <x:f>'门店周数据录入'!Q18</x:f>
        <x:v>3</x:v>
      </x:c>
      <x:c r="F18" s="54" t="n">
        <x:f>'门店周数据录入'!R18</x:f>
        <x:v>41</x:v>
      </x:c>
      <x:c r="G18" s="54" t="n">
        <x:f>'门店周数据录入'!S18</x:f>
        <x:v>796</x:v>
      </x:c>
      <x:c r="H18" s="54" t="n">
        <x:f>IF(E18&gt;0,D18/E18,"")</x:f>
        <x:v>2.6666666666666665</x:v>
      </x:c>
      <x:c r="I18" s="54" t="n">
        <x:f>D18*'规则参数'!$B$4*'规则参数'!$B$5*60/'规则参数'!$B$6</x:f>
        <x:v>144</x:v>
      </x:c>
      <x:c r="J18" s="54" t="n">
        <x:f>IF(E18&gt;0,I18/E18/('规则参数'!$B$4*'规则参数'!$B$5),"")</x:f>
        <x:v>4</x:v>
      </x:c>
      <x:c r="K18" s="54" t="n">
        <x:f>IF(E18&gt;0,F18/E18/('规则参数'!$B$4*'规则参数'!$B$5),"")</x:f>
        <x:v>1.1388888888888888</x:v>
      </x:c>
      <x:c r="L18" s="60" t="n">
        <x:f>IF(I18&gt;0,F18/I18,"")</x:f>
        <x:v>0.2847222222222222</x:v>
      </x:c>
      <x:c r="M18" s="54" t="n">
        <x:f>IF(F18&gt;0,G18/F18,"")</x:f>
        <x:v>19.414634146341463</x:v>
      </x:c>
      <x:c r="N18" s="24" t="str">
        <x:f>IF(AND(E18&lt;=0,F18&gt;0),"数据异常",IF(E18&lt;=0,"人数缺失",IF(F18&lt;=0,"无开场/待核实",IF(G18&lt;=0,"成本缺失",IF('规则参数'!$B$23&lt;&gt;"是","成本周期待确认","完整")))))</x:f>
        <x:v>成本周期待确认</x:v>
      </x:c>
      <x:c r="O18" s="24" t="str">
        <x:f>IF(OR(E18&lt;=0,F18&lt;=0),"数据异常",IF(OR(K18&gt;='规则参数'!$B$16,L18&gt;='规则参数'!$B$17),"高峰偏紧",IF(OR(H18&gt;'规则参数'!$B$12,J18&gt;'规则参数'!$B$14),"结构偏紧",IF(AND(H18&lt;'规则参数'!$B$11,K18&lt;'规则参数'!$B$15),"复位偏松","配置合理"))))</x:f>
        <x:v>配置合理</x:v>
      </x:c>
      <x:c r="P18" s="24" t="str">
        <x:f>IF(O18="数据异常","人数、波次或成本不完整，不能评价配置。",IF(O18="高峰偏紧","两天高峰实际承接强度或理论利用率过高。",IF(O18="结构偏紧","单人负责主题过多，需防止高峰服务风险。",IF(O18="复位偏松","结构负荷与实际波次同时偏低，可能存在工时浪费。","实际承接与结构负荷处于合理区间。"))))</x:f>
        <x:v>实际承接与结构负荷处于合理区间。</x:v>
      </x:c>
      <x:c r="Q18" s="24" t="str">
        <x:f>IF(O18="数据异常","先补齐或核实人数、波次和成本。",IF(O18="高峰偏紧","增加高峰支持或错峰排班，避免服务风险。",IF(O18="结构偏紧","观察两周并准备高峰机动支援。",IF(O18="复位偏松","先减低峰工时，再减低效工时；连续3周后才替换。","保持配置，继续周度跟踪。"))))</x:f>
        <x:v>保持配置，继续周度跟踪。</x:v>
      </x:c>
    </x:row>
    <x:row r="19">
      <x:c r="A19" s="24" t="str">
        <x:f>'门店周数据录入'!A19</x:f>
        <x:v>2区</x:v>
      </x:c>
      <x:c r="B19" s="24" t="str">
        <x:f>'门店周数据录入'!B19</x:f>
        <x:v>焦作万达</x:v>
      </x:c>
      <x:c r="C19" s="24" t="str">
        <x:f>'门店周数据录入'!C19</x:f>
        <x:v>A类</x:v>
      </x:c>
      <x:c r="D19" s="54" t="n">
        <x:f>'门店周数据录入'!D19</x:f>
        <x:v>15</x:v>
      </x:c>
      <x:c r="E19" s="54" t="n">
        <x:f>'门店周数据录入'!Q19</x:f>
        <x:v>6</x:v>
      </x:c>
      <x:c r="F19" s="54" t="n">
        <x:f>'门店周数据录入'!R19</x:f>
        <x:v>198</x:v>
      </x:c>
      <x:c r="G19" s="54" t="n">
        <x:f>'门店周数据录入'!S19</x:f>
        <x:v>2005</x:v>
      </x:c>
      <x:c r="H19" s="54" t="n">
        <x:f>IF(E19&gt;0,D19/E19,"")</x:f>
        <x:v>2.5</x:v>
      </x:c>
      <x:c r="I19" s="54" t="n">
        <x:f>D19*'规则参数'!$B$4*'规则参数'!$B$5*60/'规则参数'!$B$6</x:f>
        <x:v>270</x:v>
      </x:c>
      <x:c r="J19" s="54" t="n">
        <x:f>IF(E19&gt;0,I19/E19/('规则参数'!$B$4*'规则参数'!$B$5),"")</x:f>
        <x:v>3.75</x:v>
      </x:c>
      <x:c r="K19" s="54" t="n">
        <x:f>IF(E19&gt;0,F19/E19/('规则参数'!$B$4*'规则参数'!$B$5),"")</x:f>
        <x:v>2.75</x:v>
      </x:c>
      <x:c r="L19" s="60" t="n">
        <x:f>IF(I19&gt;0,F19/I19,"")</x:f>
        <x:v>0.7333333333333333</x:v>
      </x:c>
      <x:c r="M19" s="54" t="n">
        <x:f>IF(F19&gt;0,G19/F19,"")</x:f>
        <x:v>10.126262626262626</x:v>
      </x:c>
      <x:c r="N19" s="24" t="str">
        <x:f>IF(AND(E19&lt;=0,F19&gt;0),"数据异常",IF(E19&lt;=0,"人数缺失",IF(F19&lt;=0,"无开场/待核实",IF(G19&lt;=0,"成本缺失",IF('规则参数'!$B$23&lt;&gt;"是","成本周期待确认","完整")))))</x:f>
        <x:v>成本周期待确认</x:v>
      </x:c>
      <x:c r="O19" s="24" t="str">
        <x:f>IF(OR(E19&lt;=0,F19&lt;=0),"数据异常",IF(OR(K19&gt;='规则参数'!$B$16,L19&gt;='规则参数'!$B$17),"高峰偏紧",IF(OR(H19&gt;'规则参数'!$B$12,J19&gt;'规则参数'!$B$14),"结构偏紧",IF(AND(H19&lt;'规则参数'!$B$11,K19&lt;'规则参数'!$B$15),"复位偏松","配置合理"))))</x:f>
        <x:v>配置合理</x:v>
      </x:c>
      <x:c r="P19" s="24" t="str">
        <x:f>IF(O19="数据异常","人数、波次或成本不完整，不能评价配置。",IF(O19="高峰偏紧","两天高峰实际承接强度或理论利用率过高。",IF(O19="结构偏紧","单人负责主题过多，需防止高峰服务风险。",IF(O19="复位偏松","结构负荷与实际波次同时偏低，可能存在工时浪费。","实际承接与结构负荷处于合理区间。"))))</x:f>
        <x:v>实际承接与结构负荷处于合理区间。</x:v>
      </x:c>
      <x:c r="Q19" s="24" t="str">
        <x:f>IF(O19="数据异常","先补齐或核实人数、波次和成本。",IF(O19="高峰偏紧","增加高峰支持或错峰排班，避免服务风险。",IF(O19="结构偏紧","观察两周并准备高峰机动支援。",IF(O19="复位偏松","先减低峰工时，再减低效工时；连续3周后才替换。","保持配置，继续周度跟踪。"))))</x:f>
        <x:v>保持配置，继续周度跟踪。</x:v>
      </x:c>
    </x:row>
    <x:row r="20">
      <x:c r="A20" s="24" t="str">
        <x:f>'门店周数据录入'!A20</x:f>
        <x:v>1区</x:v>
      </x:c>
      <x:c r="B20" s="24" t="str">
        <x:f>'门店周数据录入'!B20</x:f>
        <x:v>襄阳高新万达</x:v>
      </x:c>
      <x:c r="C20" s="24" t="str">
        <x:f>'门店周数据录入'!C20</x:f>
        <x:v>A类</x:v>
      </x:c>
      <x:c r="D20" s="54" t="n">
        <x:f>'门店周数据录入'!D20</x:f>
        <x:v>10</x:v>
      </x:c>
      <x:c r="E20" s="54" t="n">
        <x:f>'门店周数据录入'!Q20</x:f>
        <x:v>4</x:v>
      </x:c>
      <x:c r="F20" s="54" t="n">
        <x:f>'门店周数据录入'!R20</x:f>
        <x:v>105</x:v>
      </x:c>
      <x:c r="G20" s="54" t="n">
        <x:f>'门店周数据录入'!S20</x:f>
        <x:v>281</x:v>
      </x:c>
      <x:c r="H20" s="54" t="n">
        <x:f>IF(E20&gt;0,D20/E20,"")</x:f>
        <x:v>2.5</x:v>
      </x:c>
      <x:c r="I20" s="54" t="n">
        <x:f>D20*'规则参数'!$B$4*'规则参数'!$B$5*60/'规则参数'!$B$6</x:f>
        <x:v>180</x:v>
      </x:c>
      <x:c r="J20" s="54" t="n">
        <x:f>IF(E20&gt;0,I20/E20/('规则参数'!$B$4*'规则参数'!$B$5),"")</x:f>
        <x:v>3.75</x:v>
      </x:c>
      <x:c r="K20" s="54" t="n">
        <x:f>IF(E20&gt;0,F20/E20/('规则参数'!$B$4*'规则参数'!$B$5),"")</x:f>
        <x:v>2.1875</x:v>
      </x:c>
      <x:c r="L20" s="60" t="n">
        <x:f>IF(I20&gt;0,F20/I20,"")</x:f>
        <x:v>0.5833333333333334</x:v>
      </x:c>
      <x:c r="M20" s="54" t="n">
        <x:f>IF(F20&gt;0,G20/F20,"")</x:f>
        <x:v>2.676190476190476</x:v>
      </x:c>
      <x:c r="N20" s="24" t="str">
        <x:f>IF(AND(E20&lt;=0,F20&gt;0),"数据异常",IF(E20&lt;=0,"人数缺失",IF(F20&lt;=0,"无开场/待核实",IF(G20&lt;=0,"成本缺失",IF('规则参数'!$B$23&lt;&gt;"是","成本周期待确认","完整")))))</x:f>
        <x:v>成本周期待确认</x:v>
      </x:c>
      <x:c r="O20" s="24" t="str">
        <x:f>IF(OR(E20&lt;=0,F20&lt;=0),"数据异常",IF(OR(K20&gt;='规则参数'!$B$16,L20&gt;='规则参数'!$B$17),"高峰偏紧",IF(OR(H20&gt;'规则参数'!$B$12,J20&gt;'规则参数'!$B$14),"结构偏紧",IF(AND(H20&lt;'规则参数'!$B$11,K20&lt;'规则参数'!$B$15),"复位偏松","配置合理"))))</x:f>
        <x:v>配置合理</x:v>
      </x:c>
      <x:c r="P20" s="24" t="str">
        <x:f>IF(O20="数据异常","人数、波次或成本不完整，不能评价配置。",IF(O20="高峰偏紧","两天高峰实际承接强度或理论利用率过高。",IF(O20="结构偏紧","单人负责主题过多，需防止高峰服务风险。",IF(O20="复位偏松","结构负荷与实际波次同时偏低，可能存在工时浪费。","实际承接与结构负荷处于合理区间。"))))</x:f>
        <x:v>实际承接与结构负荷处于合理区间。</x:v>
      </x:c>
      <x:c r="Q20" s="24" t="str">
        <x:f>IF(O20="数据异常","先补齐或核实人数、波次和成本。",IF(O20="高峰偏紧","增加高峰支持或错峰排班，避免服务风险。",IF(O20="结构偏紧","观察两周并准备高峰机动支援。",IF(O20="复位偏松","先减低峰工时，再减低效工时；连续3周后才替换。","保持配置，继续周度跟踪。"))))</x:f>
        <x:v>保持配置，继续周度跟踪。</x:v>
      </x:c>
    </x:row>
    <x:row r="21">
      <x:c r="A21" s="24" t="str">
        <x:f>'门店周数据录入'!A21</x:f>
        <x:v>1区</x:v>
      </x:c>
      <x:c r="B21" s="24" t="str">
        <x:f>'门店周数据录入'!B21</x:f>
        <x:v>许昌万达</x:v>
      </x:c>
      <x:c r="C21" s="24" t="str">
        <x:f>'门店周数据录入'!C21</x:f>
        <x:v>B类</x:v>
      </x:c>
      <x:c r="D21" s="54" t="n">
        <x:f>'门店周数据录入'!D21</x:f>
        <x:v>14</x:v>
      </x:c>
      <x:c r="E21" s="54" t="n">
        <x:f>'门店周数据录入'!Q21</x:f>
        <x:v>0</x:v>
      </x:c>
      <x:c r="F21" s="54" t="n">
        <x:f>'门店周数据录入'!R21</x:f>
        <x:v>128</x:v>
      </x:c>
      <x:c r="G21" s="54" t="n">
        <x:f>'门店周数据录入'!S21</x:f>
        <x:v>0</x:v>
      </x:c>
      <x:c r="H21" s="54" t="str">
        <x:f>IF(E21&gt;0,D21/E21,"")</x:f>
      </x:c>
      <x:c r="I21" s="54" t="n">
        <x:f>D21*'规则参数'!$B$4*'规则参数'!$B$5*60/'规则参数'!$B$6</x:f>
        <x:v>252</x:v>
      </x:c>
      <x:c r="J21" s="54" t="str">
        <x:f>IF(E21&gt;0,I21/E21/('规则参数'!$B$4*'规则参数'!$B$5),"")</x:f>
      </x:c>
      <x:c r="K21" s="54" t="str">
        <x:f>IF(E21&gt;0,F21/E21/('规则参数'!$B$4*'规则参数'!$B$5),"")</x:f>
      </x:c>
      <x:c r="L21" s="60" t="n">
        <x:f>IF(I21&gt;0,F21/I21,"")</x:f>
        <x:v>0.5079365079365079</x:v>
      </x:c>
      <x:c r="M21" s="54" t="n">
        <x:f>IF(F21&gt;0,G21/F21,"")</x:f>
        <x:v>0</x:v>
      </x:c>
      <x:c r="N21" s="24" t="str">
        <x:f>IF(AND(E21&lt;=0,F21&gt;0),"数据异常",IF(E21&lt;=0,"人数缺失",IF(F21&lt;=0,"无开场/待核实",IF(G21&lt;=0,"成本缺失",IF('规则参数'!$B$23&lt;&gt;"是","成本周期待确认","完整")))))</x:f>
        <x:v>数据异常</x:v>
      </x:c>
      <x:c r="O21" s="24" t="str">
        <x:f>IF(OR(E21&lt;=0,F21&lt;=0),"数据异常",IF(OR(K21&gt;='规则参数'!$B$16,L21&gt;='规则参数'!$B$17),"高峰偏紧",IF(OR(H21&gt;'规则参数'!$B$12,J21&gt;'规则参数'!$B$14),"结构偏紧",IF(AND(H21&lt;'规则参数'!$B$11,K21&lt;'规则参数'!$B$15),"复位偏松","配置合理"))))</x:f>
        <x:v>数据异常</x:v>
      </x:c>
      <x:c r="P21" s="24" t="str">
        <x:f>IF(O21="数据异常","人数、波次或成本不完整，不能评价配置。",IF(O21="高峰偏紧","两天高峰实际承接强度或理论利用率过高。",IF(O21="结构偏紧","单人负责主题过多，需防止高峰服务风险。",IF(O21="复位偏松","结构负荷与实际波次同时偏低，可能存在工时浪费。","实际承接与结构负荷处于合理区间。"))))</x:f>
        <x:v>人数、波次或成本不完整，不能评价配置。</x:v>
      </x:c>
      <x:c r="Q21" s="24" t="str">
        <x:f>IF(O21="数据异常","先补齐或核实人数、波次和成本。",IF(O21="高峰偏紧","增加高峰支持或错峰排班，避免服务风险。",IF(O21="结构偏紧","观察两周并准备高峰机动支援。",IF(O21="复位偏松","先减低峰工时，再减低效工时；连续3周后才替换。","保持配置，继续周度跟踪。"))))</x:f>
        <x:v>先补齐或核实人数、波次和成本。</x:v>
      </x:c>
    </x:row>
    <x:row r="22">
      <x:c r="A22" s="25" t="str">
        <x:f>'门店周数据录入'!A22</x:f>
        <x:v>2区</x:v>
      </x:c>
      <x:c r="B22" s="25" t="str">
        <x:f>'门店周数据录入'!B22</x:f>
        <x:v>郑州信万</x:v>
      </x:c>
      <x:c r="C22" s="25" t="str">
        <x:f>'门店周数据录入'!C22</x:f>
        <x:v>C类</x:v>
      </x:c>
      <x:c r="D22" s="55" t="n">
        <x:f>'门店周数据录入'!D22</x:f>
        <x:v>14</x:v>
      </x:c>
      <x:c r="E22" s="55" t="n">
        <x:f>'门店周数据录入'!Q22</x:f>
        <x:v>4</x:v>
      </x:c>
      <x:c r="F22" s="55" t="n">
        <x:f>'门店周数据录入'!R22</x:f>
        <x:v>83</x:v>
      </x:c>
      <x:c r="G22" s="55" t="n">
        <x:f>'门店周数据录入'!S22</x:f>
        <x:v>1546</x:v>
      </x:c>
      <x:c r="H22" s="55" t="n">
        <x:f>IF(E22&gt;0,D22/E22,"")</x:f>
        <x:v>3.5</x:v>
      </x:c>
      <x:c r="I22" s="55" t="n">
        <x:f>D22*'规则参数'!$B$4*'规则参数'!$B$5*60/'规则参数'!$B$6</x:f>
        <x:v>252</x:v>
      </x:c>
      <x:c r="J22" s="55" t="n">
        <x:f>IF(E22&gt;0,I22/E22/('规则参数'!$B$4*'规则参数'!$B$5),"")</x:f>
        <x:v>5.25</x:v>
      </x:c>
      <x:c r="K22" s="55" t="n">
        <x:f>IF(E22&gt;0,F22/E22/('规则参数'!$B$4*'规则参数'!$B$5),"")</x:f>
        <x:v>1.7291666666666667</x:v>
      </x:c>
      <x:c r="L22" s="61" t="n">
        <x:f>IF(I22&gt;0,F22/I22,"")</x:f>
        <x:v>0.32936507936507936</x:v>
      </x:c>
      <x:c r="M22" s="55" t="n">
        <x:f>IF(F22&gt;0,G22/F22,"")</x:f>
        <x:v>18.626506024096386</x:v>
      </x:c>
      <x:c r="N22" s="25" t="str">
        <x:f>IF(AND(E22&lt;=0,F22&gt;0),"数据异常",IF(E22&lt;=0,"人数缺失",IF(F22&lt;=0,"无开场/待核实",IF(G22&lt;=0,"成本缺失",IF('规则参数'!$B$23&lt;&gt;"是","成本周期待确认","完整")))))</x:f>
        <x:v>成本周期待确认</x:v>
      </x:c>
      <x:c r="O22" s="25" t="str">
        <x:f>IF(OR(E22&lt;=0,F22&lt;=0),"数据异常",IF(OR(K22&gt;='规则参数'!$B$16,L22&gt;='规则参数'!$B$17),"高峰偏紧",IF(OR(H22&gt;'规则参数'!$B$12,J22&gt;'规则参数'!$B$14),"结构偏紧",IF(AND(H22&lt;'规则参数'!$B$11,K22&lt;'规则参数'!$B$15),"复位偏松","配置合理"))))</x:f>
        <x:v>配置合理</x:v>
      </x:c>
      <x:c r="P22" s="25" t="str">
        <x:f>IF(O22="数据异常","人数、波次或成本不完整，不能评价配置。",IF(O22="高峰偏紧","两天高峰实际承接强度或理论利用率过高。",IF(O22="结构偏紧","单人负责主题过多，需防止高峰服务风险。",IF(O22="复位偏松","结构负荷与实际波次同时偏低，可能存在工时浪费。","实际承接与结构负荷处于合理区间。"))))</x:f>
        <x:v>实际承接与结构负荷处于合理区间。</x:v>
      </x:c>
      <x:c r="Q22" s="25" t="str">
        <x:f>IF(O22="数据异常","先补齐或核实人数、波次和成本。",IF(O22="高峰偏紧","增加高峰支持或错峰排班，避免服务风险。",IF(O22="结构偏紧","观察两周并准备高峰机动支援。",IF(O22="复位偏松","先减低峰工时，再减低效工时；连续3周后才替换。","保持配置，继续周度跟踪。"))))</x:f>
        <x:v>保持配置，继续周度跟踪。</x:v>
      </x:c>
    </x:row>
  </x:sheetData>
  <x:mergeCells>
    <x:mergeCell ref="A1:Q1"/>
    <x:mergeCell ref="A2:Q2"/>
  </x:mergeCells>
  <x:conditionalFormatting sqref="N4:O22">
    <x:cfRule type="containsText" dxfId="15" priority="1" operator="containsText" text="优秀"/>
    <x:cfRule type="containsText" dxfId="16" priority="2" operator="containsText" text="合理"/>
    <x:cfRule type="containsText" dxfId="17" priority="3" operator="containsText" text="正常"/>
    <x:cfRule type="containsText" dxfId="18" priority="4" operator="containsText" text="PASS"/>
    <x:cfRule type="containsText" dxfId="19" priority="5" operator="containsText" text="观察"/>
    <x:cfRule type="containsText" dxfId="20" priority="6" operator="containsText" text="缺失"/>
    <x:cfRule type="containsText" dxfId="21" priority="7" operator="containsText" text="待核实"/>
    <x:cfRule type="containsText" dxfId="22" priority="8" operator="containsText" text="待确认"/>
    <x:cfRule type="containsText" dxfId="23" priority="9" operator="containsText" text="CHECK"/>
    <x:cfRule type="containsText" dxfId="24" priority="10" operator="containsText" text="低效"/>
    <x:cfRule type="containsText" dxfId="25" priority="11" operator="containsText" text="偏紧"/>
    <x:cfRule type="containsText" dxfId="26" priority="12" operator="containsText" text="异常"/>
    <x:cfRule type="containsText" dxfId="27" priority="13" operator="containsText" text="ERROR"/>
    <x:cfRule type="containsText" dxfId="28" priority="14" operator="containsText" text="必须处理"/>
    <x:cfRule type="containsText" dxfId="29" priority="15" operator="containsText" text="必须补数据"/>
  </x:conditionalFormatting>
  <x:pageMargins left="0.7" right="0.7" top="0.75" bottom="0.75" header="0.3" footer="0.3"/>
  <x:tableParts count="1">
    <x:tablePart xmlns:r="http://schemas.openxmlformats.org/officeDocument/2006/relationships" r:id="R31cdef1401f94c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15" hidden="0" customWidth="1"/>
    <x:col min="3" max="3" width="9.4399995803833" hidden="0" customWidth="1"/>
    <x:col min="4" max="4" width="11.670000076293945" hidden="0" customWidth="1"/>
    <x:col min="5" max="5" width="9.4399995803833" hidden="0" customWidth="1"/>
    <x:col min="6" max="6" width="10" hidden="0" customWidth="1"/>
    <x:col min="7" max="7" width="10" hidden="0" customWidth="1"/>
    <x:col min="8" max="8" width="12.220000267028809" hidden="0" customWidth="1"/>
    <x:col min="9" max="9" width="28.329999923706055" hidden="0" customWidth="1"/>
    <x:col min="10" max="10" width="10" hidden="0" customWidth="1"/>
    <x:col min="11" max="11" width="10" hidden="0" customWidth="1"/>
    <x:col min="12" max="12" width="10" hidden="0" customWidth="1"/>
    <x:col min="13" max="13" width="13.890000343322754" hidden="0" customWidth="1"/>
    <x:col min="14" max="14" width="9.4399995803833" hidden="0" customWidth="1"/>
    <x:col min="15" max="15" width="42.220001220703125" hidden="0" customWidth="1"/>
  </x:cols>
  <x:sheetData>
    <x:row r="1" ht="30" customHeight="1">
      <x:c r="A1" s="4" t="str">
        <x:v>数据校验：先判断数据能不能用，再判断经营好不好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.5" customHeight="1">
      <x:c r="A2" s="37" t="str">
        <x:v>CHECK不等于经营差，表示仍有字段缺失或口径需确认；ERROR表示当前数据会直接导致计算错误或严重误判。引流成交金额大于门店总营收，可能因包含充值或跨期归属，需业务确认但不自动判错。</x:v>
      </x:c>
      <x:c r="B2" s="37"/>
      <x:c r="C2" s="37"/>
      <x:c r="D2" s="37"/>
      <x:c r="E2" s="37"/>
      <x:c r="F2" s="37"/>
      <x:c r="G2" s="37"/>
      <x:c r="H2" s="37"/>
      <x:c r="I2" s="37"/>
      <x:c r="J2" s="37"/>
      <x:c r="K2" s="37"/>
      <x:c r="L2" s="37"/>
      <x:c r="M2" s="37"/>
      <x:c r="N2" s="37"/>
      <x:c r="O2" s="37"/>
    </x:row>
    <x:row r="3" ht="34.5" customHeight="1">
      <x:c r="A3" s="16" t="str">
        <x:v>区域</x:v>
      </x:c>
      <x:c r="B3" s="17" t="str">
        <x:v>门店</x:v>
      </x:c>
      <x:c r="C3" s="17" t="str">
        <x:v>引流工时</x:v>
      </x:c>
      <x:c r="D3" s="17" t="str">
        <x:v>实际人工成本</x:v>
      </x:c>
      <x:c r="E3" s="17" t="str">
        <x:v>隐含时薪</x:v>
      </x:c>
      <x:c r="F3" s="17" t="str">
        <x:v>到店数据</x:v>
      </x:c>
      <x:c r="G3" s="17" t="str">
        <x:v>办卡数据</x:v>
      </x:c>
      <x:c r="H3" s="17" t="str">
        <x:v>成交额/门店营收</x:v>
      </x:c>
      <x:c r="I3" s="17" t="str">
        <x:v>金额口径</x:v>
      </x:c>
      <x:c r="J3" s="17" t="str">
        <x:v>复位人数</x:v>
      </x:c>
      <x:c r="K3" s="17" t="str">
        <x:v>高峰波次</x:v>
      </x:c>
      <x:c r="L3" s="17" t="str">
        <x:v>复位成本</x:v>
      </x:c>
      <x:c r="M3" s="17" t="str">
        <x:v>复位输入状态</x:v>
      </x:c>
      <x:c r="N3" s="17" t="str">
        <x:v>总校验</x:v>
      </x:c>
      <x:c r="O3" s="18" t="str">
        <x:v>修正动作</x:v>
      </x:c>
    </x:row>
    <x:row r="4" ht="33" customHeight="1">
      <x:c r="A4" s="23" t="str">
        <x:f>'门店周数据录入'!A4</x:f>
        <x:v>3区</x:v>
      </x:c>
      <x:c r="B4" s="23" t="str">
        <x:f>'门店周数据录入'!B4</x:f>
        <x:v>中原万达</x:v>
      </x:c>
      <x:c r="C4" s="53" t="n">
        <x:f>'门店周数据录入'!G4</x:f>
        <x:v>223.4</x:v>
      </x:c>
      <x:c r="D4" s="53" t="n">
        <x:f>'门店周数据录入'!M4</x:f>
        <x:v>2234</x:v>
      </x:c>
      <x:c r="E4" s="53" t="n">
        <x:f>IF(C4&gt;0,D4/C4,"")</x:f>
        <x:v>10</x:v>
      </x:c>
      <x:c r="F4" s="23" t="str">
        <x:f>IF('门店周数据录入'!N4="","缺失","已填")</x:f>
        <x:v>缺失</x:v>
      </x:c>
      <x:c r="G4" s="23" t="str">
        <x:f>IF('门店周数据录入'!P4="","缺失","已填")</x:f>
        <x:v>缺失</x:v>
      </x:c>
      <x:c r="H4" s="59" t="n">
        <x:f>IF('门店周数据录入'!E4&gt;0,'门店周数据录入'!O4/'门店周数据录入'!E4,"")</x:f>
        <x:v>0.9951508836612832</x:v>
      </x:c>
      <x:c r="I4" s="23" t="str">
        <x:f>IF(H4&gt;1.05,"需确认：成交金额高于门店总营收","正常")</x:f>
        <x:v>正常</x:v>
      </x:c>
      <x:c r="J4" s="23" t="n">
        <x:f>'门店周数据录入'!Q4</x:f>
        <x:v>3</x:v>
      </x:c>
      <x:c r="K4" s="23" t="n">
        <x:f>'门店周数据录入'!R4</x:f>
        <x:v>89</x:v>
      </x:c>
      <x:c r="L4" s="23" t="n">
        <x:f>'门店周数据录入'!S4</x:f>
        <x:v>1833</x:v>
      </x:c>
      <x:c r="M4" s="23" t="str">
        <x:f>IF(AND(J4&lt;=0,K4&gt;0),"数据异常",IF(J4&lt;=0,"人数缺失",IF(K4&lt;=0,"无开场/待核实",IF(L4&lt;=0,"成本缺失",IF('规则参数'!$B$23&lt;&gt;"是","成本周期待确认","完整")))))</x:f>
        <x:v>成本周期待确认</x:v>
      </x:c>
      <x:c r="N4" s="23" t="str">
        <x:f>IF(OR(AND('门店周数据录入'!O4&gt;0,C4&lt;=0),AND(K4&gt;0,J4&lt;=0)),"ERROR",IF(OR('规则参数'!$B$24&lt;&gt;"是",F4&lt;&gt;"已填",G4&lt;&gt;"已填",I4&lt;&gt;"正常",M4&lt;&gt;"完整"),"CHECK","PASS"))</x:f>
        <x:v>CHECK</x:v>
      </x:c>
      <x:c r="O4" s="38" t="str">
        <x:f>IF(N4="ERROR","立即修正人数、工时或成本，不得用于判断。",IF('规则参数'!$B$24&lt;&gt;"是","确认引流数据仅含周末/国家法定节假日；","")&amp;IF(F4="缺失","补填引流到店人数；","")&amp;IF(G4="缺失","补填办卡数；","")&amp;IF(I4&lt;&gt;"正常","确认成交金额是否含充值/跨期；","")&amp;IF(M4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5" ht="33" customHeight="1">
      <x:c r="A5" s="24" t="str">
        <x:f>'门店周数据录入'!A5</x:f>
        <x:v>3区</x:v>
      </x:c>
      <x:c r="B5" s="24" t="str">
        <x:f>'门店周数据录入'!B5</x:f>
        <x:v>二七万象城</x:v>
      </x:c>
      <x:c r="C5" s="54" t="n">
        <x:f>'门店周数据录入'!G5</x:f>
        <x:v>80.5</x:v>
      </x:c>
      <x:c r="D5" s="54" t="n">
        <x:f>'门店周数据录入'!M5</x:f>
        <x:v>805</x:v>
      </x:c>
      <x:c r="E5" s="54" t="n">
        <x:f>IF(C5&gt;0,D5/C5,"")</x:f>
        <x:v>10</x:v>
      </x:c>
      <x:c r="F5" s="24" t="str">
        <x:f>IF('门店周数据录入'!N5="","缺失","已填")</x:f>
        <x:v>缺失</x:v>
      </x:c>
      <x:c r="G5" s="24" t="str">
        <x:f>IF('门店周数据录入'!P5="","缺失","已填")</x:f>
        <x:v>缺失</x:v>
      </x:c>
      <x:c r="H5" s="60" t="n">
        <x:f>IF('门店周数据录入'!E5&gt;0,'门店周数据录入'!O5/'门店周数据录入'!E5,"")</x:f>
        <x:v>0.35767286474936294</x:v>
      </x:c>
      <x:c r="I5" s="24" t="str">
        <x:f>IF(H5&gt;1.05,"需确认：成交金额高于门店总营收","正常")</x:f>
        <x:v>正常</x:v>
      </x:c>
      <x:c r="J5" s="24" t="n">
        <x:f>'门店周数据录入'!Q5</x:f>
        <x:v>7</x:v>
      </x:c>
      <x:c r="K5" s="24" t="n">
        <x:f>'门店周数据录入'!R5</x:f>
        <x:v>152</x:v>
      </x:c>
      <x:c r="L5" s="24" t="n">
        <x:f>'门店周数据录入'!S5</x:f>
        <x:v>2201</x:v>
      </x:c>
      <x:c r="M5" s="24" t="str">
        <x:f>IF(AND(J5&lt;=0,K5&gt;0),"数据异常",IF(J5&lt;=0,"人数缺失",IF(K5&lt;=0,"无开场/待核实",IF(L5&lt;=0,"成本缺失",IF('规则参数'!$B$23&lt;&gt;"是","成本周期待确认","完整")))))</x:f>
        <x:v>成本周期待确认</x:v>
      </x:c>
      <x:c r="N5" s="24" t="str">
        <x:f>IF(OR(AND('门店周数据录入'!O5&gt;0,C5&lt;=0),AND(K5&gt;0,J5&lt;=0)),"ERROR",IF(OR('规则参数'!$B$24&lt;&gt;"是",F5&lt;&gt;"已填",G5&lt;&gt;"已填",I5&lt;&gt;"正常",M5&lt;&gt;"完整"),"CHECK","PASS"))</x:f>
        <x:v>CHECK</x:v>
      </x:c>
      <x:c r="O5" s="39" t="str">
        <x:f>IF(N5="ERROR","立即修正人数、工时或成本，不得用于判断。",IF('规则参数'!$B$24&lt;&gt;"是","确认引流数据仅含周末/国家法定节假日；","")&amp;IF(F5="缺失","补填引流到店人数；","")&amp;IF(G5="缺失","补填办卡数；","")&amp;IF(I5&lt;&gt;"正常","确认成交金额是否含充值/跨期；","")&amp;IF(M5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6" ht="33" customHeight="1">
      <x:c r="A6" s="24" t="str">
        <x:f>'门店周数据录入'!A6</x:f>
        <x:v>1区</x:v>
      </x:c>
      <x:c r="B6" s="24" t="str">
        <x:f>'门店周数据录入'!B6</x:f>
        <x:v>信阳万达</x:v>
      </x:c>
      <x:c r="C6" s="54" t="n">
        <x:f>'门店周数据录入'!G6</x:f>
        <x:v>33.7</x:v>
      </x:c>
      <x:c r="D6" s="54" t="n">
        <x:f>'门店周数据录入'!M6</x:f>
        <x:v>337</x:v>
      </x:c>
      <x:c r="E6" s="54" t="n">
        <x:f>IF(C6&gt;0,D6/C6,"")</x:f>
        <x:v>10</x:v>
      </x:c>
      <x:c r="F6" s="24" t="str">
        <x:f>IF('门店周数据录入'!N6="","缺失","已填")</x:f>
        <x:v>缺失</x:v>
      </x:c>
      <x:c r="G6" s="24" t="str">
        <x:f>IF('门店周数据录入'!P6="","缺失","已填")</x:f>
        <x:v>缺失</x:v>
      </x:c>
      <x:c r="H6" s="60" t="n">
        <x:f>IF('门店周数据录入'!E6&gt;0,'门店周数据录入'!O6/'门店周数据录入'!E6,"")</x:f>
        <x:v>0.2579231196929538</x:v>
      </x:c>
      <x:c r="I6" s="24" t="str">
        <x:f>IF(H6&gt;1.05,"需确认：成交金额高于门店总营收","正常")</x:f>
        <x:v>正常</x:v>
      </x:c>
      <x:c r="J6" s="24" t="n">
        <x:f>'门店周数据录入'!Q6</x:f>
        <x:v>2</x:v>
      </x:c>
      <x:c r="K6" s="24" t="n">
        <x:f>'门店周数据录入'!R6</x:f>
        <x:v>67</x:v>
      </x:c>
      <x:c r="L6" s="24" t="n">
        <x:f>'门店周数据录入'!S6</x:f>
        <x:v>449</x:v>
      </x:c>
      <x:c r="M6" s="24" t="str">
        <x:f>IF(AND(J6&lt;=0,K6&gt;0),"数据异常",IF(J6&lt;=0,"人数缺失",IF(K6&lt;=0,"无开场/待核实",IF(L6&lt;=0,"成本缺失",IF('规则参数'!$B$23&lt;&gt;"是","成本周期待确认","完整")))))</x:f>
        <x:v>成本周期待确认</x:v>
      </x:c>
      <x:c r="N6" s="24" t="str">
        <x:f>IF(OR(AND('门店周数据录入'!O6&gt;0,C6&lt;=0),AND(K6&gt;0,J6&lt;=0)),"ERROR",IF(OR('规则参数'!$B$24&lt;&gt;"是",F6&lt;&gt;"已填",G6&lt;&gt;"已填",I6&lt;&gt;"正常",M6&lt;&gt;"完整"),"CHECK","PASS"))</x:f>
        <x:v>CHECK</x:v>
      </x:c>
      <x:c r="O6" s="39" t="str">
        <x:f>IF(N6="ERROR","立即修正人数、工时或成本，不得用于判断。",IF('规则参数'!$B$24&lt;&gt;"是","确认引流数据仅含周末/国家法定节假日；","")&amp;IF(F6="缺失","补填引流到店人数；","")&amp;IF(G6="缺失","补填办卡数；","")&amp;IF(I6&lt;&gt;"正常","确认成交金额是否含充值/跨期；","")&amp;IF(M6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7" ht="33" customHeight="1">
      <x:c r="A7" s="24" t="str">
        <x:f>'门店周数据录入'!A7</x:f>
        <x:v>1区</x:v>
      </x:c>
      <x:c r="B7" s="24" t="str">
        <x:f>'门店周数据录入'!B7</x:f>
        <x:v>南阳万达</x:v>
      </x:c>
      <x:c r="C7" s="54" t="n">
        <x:f>'门店周数据录入'!G7</x:f>
        <x:v>116.4</x:v>
      </x:c>
      <x:c r="D7" s="54" t="n">
        <x:f>'门店周数据录入'!M7</x:f>
        <x:v>1164</x:v>
      </x:c>
      <x:c r="E7" s="54" t="n">
        <x:f>IF(C7&gt;0,D7/C7,"")</x:f>
        <x:v>10</x:v>
      </x:c>
      <x:c r="F7" s="24" t="str">
        <x:f>IF('门店周数据录入'!N7="","缺失","已填")</x:f>
        <x:v>缺失</x:v>
      </x:c>
      <x:c r="G7" s="24" t="str">
        <x:f>IF('门店周数据录入'!P7="","缺失","已填")</x:f>
        <x:v>缺失</x:v>
      </x:c>
      <x:c r="H7" s="60" t="n">
        <x:f>IF('门店周数据录入'!E7&gt;0,'门店周数据录入'!O7/'门店周数据录入'!E7,"")</x:f>
        <x:v>0.7299798980879809</x:v>
      </x:c>
      <x:c r="I7" s="24" t="str">
        <x:f>IF(H7&gt;1.05,"需确认：成交金额高于门店总营收","正常")</x:f>
        <x:v>正常</x:v>
      </x:c>
      <x:c r="J7" s="24" t="n">
        <x:f>'门店周数据录入'!Q7</x:f>
        <x:v>4</x:v>
      </x:c>
      <x:c r="K7" s="24" t="n">
        <x:f>'门店周数据录入'!R7</x:f>
        <x:v>132</x:v>
      </x:c>
      <x:c r="L7" s="24" t="n">
        <x:f>'门店周数据录入'!S7</x:f>
        <x:v>1967</x:v>
      </x:c>
      <x:c r="M7" s="24" t="str">
        <x:f>IF(AND(J7&lt;=0,K7&gt;0),"数据异常",IF(J7&lt;=0,"人数缺失",IF(K7&lt;=0,"无开场/待核实",IF(L7&lt;=0,"成本缺失",IF('规则参数'!$B$23&lt;&gt;"是","成本周期待确认","完整")))))</x:f>
        <x:v>成本周期待确认</x:v>
      </x:c>
      <x:c r="N7" s="24" t="str">
        <x:f>IF(OR(AND('门店周数据录入'!O7&gt;0,C7&lt;=0),AND(K7&gt;0,J7&lt;=0)),"ERROR",IF(OR('规则参数'!$B$24&lt;&gt;"是",F7&lt;&gt;"已填",G7&lt;&gt;"已填",I7&lt;&gt;"正常",M7&lt;&gt;"完整"),"CHECK","PASS"))</x:f>
        <x:v>CHECK</x:v>
      </x:c>
      <x:c r="O7" s="39" t="str">
        <x:f>IF(N7="ERROR","立即修正人数、工时或成本，不得用于判断。",IF('规则参数'!$B$24&lt;&gt;"是","确认引流数据仅含周末/国家法定节假日；","")&amp;IF(F7="缺失","补填引流到店人数；","")&amp;IF(G7="缺失","补填办卡数；","")&amp;IF(I7&lt;&gt;"正常","确认成交金额是否含充值/跨期；","")&amp;IF(M7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8" ht="33" customHeight="1">
      <x:c r="A8" s="24" t="str">
        <x:f>'门店周数据录入'!A8</x:f>
        <x:v>1区</x:v>
      </x:c>
      <x:c r="B8" s="24" t="str">
        <x:f>'门店周数据录入'!B8</x:f>
        <x:v>南阳吾悦</x:v>
      </x:c>
      <x:c r="C8" s="54" t="n">
        <x:f>'门店周数据录入'!G8</x:f>
        <x:v>48.9</x:v>
      </x:c>
      <x:c r="D8" s="54" t="n">
        <x:f>'门店周数据录入'!M8</x:f>
        <x:v>489</x:v>
      </x:c>
      <x:c r="E8" s="54" t="n">
        <x:f>IF(C8&gt;0,D8/C8,"")</x:f>
        <x:v>10</x:v>
      </x:c>
      <x:c r="F8" s="24" t="str">
        <x:f>IF('门店周数据录入'!N8="","缺失","已填")</x:f>
        <x:v>缺失</x:v>
      </x:c>
      <x:c r="G8" s="24" t="str">
        <x:f>IF('门店周数据录入'!P8="","缺失","已填")</x:f>
        <x:v>缺失</x:v>
      </x:c>
      <x:c r="H8" s="60" t="n">
        <x:f>IF('门店周数据录入'!E8&gt;0,'门店周数据录入'!O8/'门店周数据录入'!E8,"")</x:f>
        <x:v>0.37979861548143484</x:v>
      </x:c>
      <x:c r="I8" s="24" t="str">
        <x:f>IF(H8&gt;1.05,"需确认：成交金额高于门店总营收","正常")</x:f>
        <x:v>正常</x:v>
      </x:c>
      <x:c r="J8" s="24" t="n">
        <x:f>'门店周数据录入'!Q8</x:f>
        <x:v>4</x:v>
      </x:c>
      <x:c r="K8" s="24" t="n">
        <x:f>'门店周数据录入'!R8</x:f>
        <x:v>120</x:v>
      </x:c>
      <x:c r="L8" s="24" t="n">
        <x:f>'门店周数据录入'!S8</x:f>
        <x:v>2052</x:v>
      </x:c>
      <x:c r="M8" s="24" t="str">
        <x:f>IF(AND(J8&lt;=0,K8&gt;0),"数据异常",IF(J8&lt;=0,"人数缺失",IF(K8&lt;=0,"无开场/待核实",IF(L8&lt;=0,"成本缺失",IF('规则参数'!$B$23&lt;&gt;"是","成本周期待确认","完整")))))</x:f>
        <x:v>成本周期待确认</x:v>
      </x:c>
      <x:c r="N8" s="24" t="str">
        <x:f>IF(OR(AND('门店周数据录入'!O8&gt;0,C8&lt;=0),AND(K8&gt;0,J8&lt;=0)),"ERROR",IF(OR('规则参数'!$B$24&lt;&gt;"是",F8&lt;&gt;"已填",G8&lt;&gt;"已填",I8&lt;&gt;"正常",M8&lt;&gt;"完整"),"CHECK","PASS"))</x:f>
        <x:v>CHECK</x:v>
      </x:c>
      <x:c r="O8" s="39" t="str">
        <x:f>IF(N8="ERROR","立即修正人数、工时或成本，不得用于判断。",IF('规则参数'!$B$24&lt;&gt;"是","确认引流数据仅含周末/国家法定节假日；","")&amp;IF(F8="缺失","补填引流到店人数；","")&amp;IF(G8="缺失","补填办卡数；","")&amp;IF(I8&lt;&gt;"正常","确认成交金额是否含充值/跨期；","")&amp;IF(M8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9" ht="33" customHeight="1">
      <x:c r="A9" s="24" t="str">
        <x:f>'门店周数据录入'!A9</x:f>
        <x:v>2区</x:v>
      </x:c>
      <x:c r="B9" s="24" t="str">
        <x:f>'门店周数据录入'!B9</x:f>
        <x:v>周口万达</x:v>
      </x:c>
      <x:c r="C9" s="54" t="n">
        <x:f>'门店周数据录入'!G9</x:f>
        <x:v>96.1</x:v>
      </x:c>
      <x:c r="D9" s="54" t="n">
        <x:f>'门店周数据录入'!M9</x:f>
        <x:v>961</x:v>
      </x:c>
      <x:c r="E9" s="54" t="n">
        <x:f>IF(C9&gt;0,D9/C9,"")</x:f>
        <x:v>10</x:v>
      </x:c>
      <x:c r="F9" s="24" t="str">
        <x:f>IF('门店周数据录入'!N9="","缺失","已填")</x:f>
        <x:v>缺失</x:v>
      </x:c>
      <x:c r="G9" s="24" t="str">
        <x:f>IF('门店周数据录入'!P9="","缺失","已填")</x:f>
        <x:v>缺失</x:v>
      </x:c>
      <x:c r="H9" s="60" t="n">
        <x:f>IF('门店周数据录入'!E9&gt;0,'门店周数据录入'!O9/'门店周数据录入'!E9,"")</x:f>
        <x:v>0.6604388125486129</x:v>
      </x:c>
      <x:c r="I9" s="24" t="str">
        <x:f>IF(H9&gt;1.05,"需确认：成交金额高于门店总营收","正常")</x:f>
        <x:v>正常</x:v>
      </x:c>
      <x:c r="J9" s="24" t="n">
        <x:f>'门店周数据录入'!Q9</x:f>
        <x:v>1</x:v>
      </x:c>
      <x:c r="K9" s="24" t="n">
        <x:f>'门店周数据录入'!R9</x:f>
        <x:v>97</x:v>
      </x:c>
      <x:c r="L9" s="24" t="n">
        <x:f>'门店周数据录入'!S9</x:f>
        <x:v>304</x:v>
      </x:c>
      <x:c r="M9" s="24" t="str">
        <x:f>IF(AND(J9&lt;=0,K9&gt;0),"数据异常",IF(J9&lt;=0,"人数缺失",IF(K9&lt;=0,"无开场/待核实",IF(L9&lt;=0,"成本缺失",IF('规则参数'!$B$23&lt;&gt;"是","成本周期待确认","完整")))))</x:f>
        <x:v>成本周期待确认</x:v>
      </x:c>
      <x:c r="N9" s="24" t="str">
        <x:f>IF(OR(AND('门店周数据录入'!O9&gt;0,C9&lt;=0),AND(K9&gt;0,J9&lt;=0)),"ERROR",IF(OR('规则参数'!$B$24&lt;&gt;"是",F9&lt;&gt;"已填",G9&lt;&gt;"已填",I9&lt;&gt;"正常",M9&lt;&gt;"完整"),"CHECK","PASS"))</x:f>
        <x:v>CHECK</x:v>
      </x:c>
      <x:c r="O9" s="39" t="str">
        <x:f>IF(N9="ERROR","立即修正人数、工时或成本，不得用于判断。",IF('规则参数'!$B$24&lt;&gt;"是","确认引流数据仅含周末/国家法定节假日；","")&amp;IF(F9="缺失","补填引流到店人数；","")&amp;IF(G9="缺失","补填办卡数；","")&amp;IF(I9&lt;&gt;"正常","确认成交金额是否含充值/跨期；","")&amp;IF(M9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10" ht="33" customHeight="1">
      <x:c r="A10" s="24" t="str">
        <x:f>'门店周数据录入'!A10</x:f>
        <x:v>1区</x:v>
      </x:c>
      <x:c r="B10" s="24" t="str">
        <x:f>'门店周数据录入'!B10</x:f>
        <x:v>商丘万达</x:v>
      </x:c>
      <x:c r="C10" s="54" t="n">
        <x:f>'门店周数据录入'!G10</x:f>
        <x:v>190.4</x:v>
      </x:c>
      <x:c r="D10" s="54" t="n">
        <x:f>'门店周数据录入'!M10</x:f>
        <x:v>1904</x:v>
      </x:c>
      <x:c r="E10" s="54" t="n">
        <x:f>IF(C10&gt;0,D10/C10,"")</x:f>
        <x:v>10</x:v>
      </x:c>
      <x:c r="F10" s="24" t="str">
        <x:f>IF('门店周数据录入'!N10="","缺失","已填")</x:f>
        <x:v>缺失</x:v>
      </x:c>
      <x:c r="G10" s="24" t="str">
        <x:f>IF('门店周数据录入'!P10="","缺失","已填")</x:f>
        <x:v>缺失</x:v>
      </x:c>
      <x:c r="H10" s="60" t="n">
        <x:f>IF('门店周数据录入'!E10&gt;0,'门店周数据录入'!O10/'门店周数据录入'!E10,"")</x:f>
        <x:v>1.395629991461527</x:v>
      </x:c>
      <x:c r="I10" s="24" t="str">
        <x:f>IF(H10&gt;1.05,"需确认：成交金额高于门店总营收","正常")</x:f>
        <x:v>需确认：成交金额高于门店总营收</x:v>
      </x:c>
      <x:c r="J10" s="24" t="n">
        <x:f>'门店周数据录入'!Q10</x:f>
        <x:v>3</x:v>
      </x:c>
      <x:c r="K10" s="24" t="n">
        <x:f>'门店周数据录入'!R10</x:f>
        <x:v>85</x:v>
      </x:c>
      <x:c r="L10" s="24" t="n">
        <x:f>'门店周数据录入'!S10</x:f>
        <x:v>1809</x:v>
      </x:c>
      <x:c r="M10" s="24" t="str">
        <x:f>IF(AND(J10&lt;=0,K10&gt;0),"数据异常",IF(J10&lt;=0,"人数缺失",IF(K10&lt;=0,"无开场/待核实",IF(L10&lt;=0,"成本缺失",IF('规则参数'!$B$23&lt;&gt;"是","成本周期待确认","完整")))))</x:f>
        <x:v>成本周期待确认</x:v>
      </x:c>
      <x:c r="N10" s="24" t="str">
        <x:f>IF(OR(AND('门店周数据录入'!O10&gt;0,C10&lt;=0),AND(K10&gt;0,J10&lt;=0)),"ERROR",IF(OR('规则参数'!$B$24&lt;&gt;"是",F10&lt;&gt;"已填",G10&lt;&gt;"已填",I10&lt;&gt;"正常",M10&lt;&gt;"完整"),"CHECK","PASS"))</x:f>
        <x:v>CHECK</x:v>
      </x:c>
      <x:c r="O10" s="39" t="str">
        <x:f>IF(N10="ERROR","立即修正人数、工时或成本，不得用于判断。",IF('规则参数'!$B$24&lt;&gt;"是","确认引流数据仅含周末/国家法定节假日；","")&amp;IF(F10="缺失","补填引流到店人数；","")&amp;IF(G10="缺失","补填办卡数；","")&amp;IF(I10&lt;&gt;"正常","确认成交金额是否含充值/跨期；","")&amp;IF(M10&lt;&gt;"完整","确认复位工资是否覆盖周末高峰；",""))</x:f>
        <x:v>确认引流数据仅含周末/国家法定节假日；补填引流到店人数；补填办卡数；确认成交金额是否含充值/跨期；确认复位工资是否覆盖周末高峰；</x:v>
      </x:c>
    </x:row>
    <x:row r="11" ht="33" customHeight="1">
      <x:c r="A11" s="24" t="str">
        <x:f>'门店周数据录入'!A11</x:f>
        <x:v>3区</x:v>
      </x:c>
      <x:c r="B11" s="24" t="str">
        <x:f>'门店周数据录入'!B11</x:f>
        <x:v>安阳万达</x:v>
      </x:c>
      <x:c r="C11" s="54" t="n">
        <x:f>'门店周数据录入'!G11</x:f>
        <x:v>50.9</x:v>
      </x:c>
      <x:c r="D11" s="54" t="n">
        <x:f>'门店周数据录入'!M11</x:f>
        <x:v>509</x:v>
      </x:c>
      <x:c r="E11" s="54" t="n">
        <x:f>IF(C11&gt;0,D11/C11,"")</x:f>
        <x:v>10</x:v>
      </x:c>
      <x:c r="F11" s="24" t="str">
        <x:f>IF('门店周数据录入'!N11="","缺失","已填")</x:f>
        <x:v>缺失</x:v>
      </x:c>
      <x:c r="G11" s="24" t="str">
        <x:f>IF('门店周数据录入'!P11="","缺失","已填")</x:f>
        <x:v>缺失</x:v>
      </x:c>
      <x:c r="H11" s="60" t="n">
        <x:f>IF('门店周数据录入'!E11&gt;0,'门店周数据录入'!O11/'门店周数据录入'!E11,"")</x:f>
        <x:v>1.1444754810676598</x:v>
      </x:c>
      <x:c r="I11" s="24" t="str">
        <x:f>IF(H11&gt;1.05,"需确认：成交金额高于门店总营收","正常")</x:f>
        <x:v>需确认：成交金额高于门店总营收</x:v>
      </x:c>
      <x:c r="J11" s="24" t="n">
        <x:f>'门店周数据录入'!Q11</x:f>
        <x:v>4</x:v>
      </x:c>
      <x:c r="K11" s="24" t="n">
        <x:f>'门店周数据录入'!R11</x:f>
        <x:v>38</x:v>
      </x:c>
      <x:c r="L11" s="24" t="n">
        <x:f>'门店周数据录入'!S11</x:f>
        <x:v>1158</x:v>
      </x:c>
      <x:c r="M11" s="24" t="str">
        <x:f>IF(AND(J11&lt;=0,K11&gt;0),"数据异常",IF(J11&lt;=0,"人数缺失",IF(K11&lt;=0,"无开场/待核实",IF(L11&lt;=0,"成本缺失",IF('规则参数'!$B$23&lt;&gt;"是","成本周期待确认","完整")))))</x:f>
        <x:v>成本周期待确认</x:v>
      </x:c>
      <x:c r="N11" s="24" t="str">
        <x:f>IF(OR(AND('门店周数据录入'!O11&gt;0,C11&lt;=0),AND(K11&gt;0,J11&lt;=0)),"ERROR",IF(OR('规则参数'!$B$24&lt;&gt;"是",F11&lt;&gt;"已填",G11&lt;&gt;"已填",I11&lt;&gt;"正常",M11&lt;&gt;"完整"),"CHECK","PASS"))</x:f>
        <x:v>CHECK</x:v>
      </x:c>
      <x:c r="O11" s="39" t="str">
        <x:f>IF(N11="ERROR","立即修正人数、工时或成本，不得用于判断。",IF('规则参数'!$B$24&lt;&gt;"是","确认引流数据仅含周末/国家法定节假日；","")&amp;IF(F11="缺失","补填引流到店人数；","")&amp;IF(G11="缺失","补填办卡数；","")&amp;IF(I11&lt;&gt;"正常","确认成交金额是否含充值/跨期；","")&amp;IF(M11&lt;&gt;"完整","确认复位工资是否覆盖周末高峰；",""))</x:f>
        <x:v>确认引流数据仅含周末/国家法定节假日；补填引流到店人数；补填办卡数；确认成交金额是否含充值/跨期；确认复位工资是否覆盖周末高峰；</x:v>
      </x:c>
    </x:row>
    <x:row r="12" ht="33" customHeight="1">
      <x:c r="A12" s="24" t="str">
        <x:f>'门店周数据录入'!A12</x:f>
        <x:v>3区</x:v>
      </x:c>
      <x:c r="B12" s="24" t="str">
        <x:f>'门店周数据录入'!B12</x:f>
        <x:v>开封万达</x:v>
      </x:c>
      <x:c r="C12" s="54" t="n">
        <x:f>'门店周数据录入'!G12</x:f>
        <x:v>90.3</x:v>
      </x:c>
      <x:c r="D12" s="54" t="n">
        <x:f>'门店周数据录入'!M12</x:f>
        <x:v>903</x:v>
      </x:c>
      <x:c r="E12" s="54" t="n">
        <x:f>IF(C12&gt;0,D12/C12,"")</x:f>
        <x:v>10</x:v>
      </x:c>
      <x:c r="F12" s="24" t="str">
        <x:f>IF('门店周数据录入'!N12="","缺失","已填")</x:f>
        <x:v>缺失</x:v>
      </x:c>
      <x:c r="G12" s="24" t="str">
        <x:f>IF('门店周数据录入'!P12="","缺失","已填")</x:f>
        <x:v>缺失</x:v>
      </x:c>
      <x:c r="H12" s="60" t="n">
        <x:f>IF('门店周数据录入'!E12&gt;0,'门店周数据录入'!O12/'门店周数据录入'!E12,"")</x:f>
        <x:v>0.9284803166923246</x:v>
      </x:c>
      <x:c r="I12" s="24" t="str">
        <x:f>IF(H12&gt;1.05,"需确认：成交金额高于门店总营收","正常")</x:f>
        <x:v>正常</x:v>
      </x:c>
      <x:c r="J12" s="24" t="n">
        <x:f>'门店周数据录入'!Q12</x:f>
        <x:v>3</x:v>
      </x:c>
      <x:c r="K12" s="24" t="n">
        <x:f>'门店周数据录入'!R12</x:f>
        <x:v>106</x:v>
      </x:c>
      <x:c r="L12" s="24" t="n">
        <x:f>'门店周数据录入'!S12</x:f>
        <x:v>521</x:v>
      </x:c>
      <x:c r="M12" s="24" t="str">
        <x:f>IF(AND(J12&lt;=0,K12&gt;0),"数据异常",IF(J12&lt;=0,"人数缺失",IF(K12&lt;=0,"无开场/待核实",IF(L12&lt;=0,"成本缺失",IF('规则参数'!$B$23&lt;&gt;"是","成本周期待确认","完整")))))</x:f>
        <x:v>成本周期待确认</x:v>
      </x:c>
      <x:c r="N12" s="24" t="str">
        <x:f>IF(OR(AND('门店周数据录入'!O12&gt;0,C12&lt;=0),AND(K12&gt;0,J12&lt;=0)),"ERROR",IF(OR('规则参数'!$B$24&lt;&gt;"是",F12&lt;&gt;"已填",G12&lt;&gt;"已填",I12&lt;&gt;"正常",M12&lt;&gt;"完整"),"CHECK","PASS"))</x:f>
        <x:v>CHECK</x:v>
      </x:c>
      <x:c r="O12" s="39" t="str">
        <x:f>IF(N12="ERROR","立即修正人数、工时或成本，不得用于判断。",IF('规则参数'!$B$24&lt;&gt;"是","确认引流数据仅含周末/国家法定节假日；","")&amp;IF(F12="缺失","补填引流到店人数；","")&amp;IF(G12="缺失","补填办卡数；","")&amp;IF(I12&lt;&gt;"正常","确认成交金额是否含充值/跨期；","")&amp;IF(M12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13" ht="33" customHeight="1">
      <x:c r="A13" s="24" t="str">
        <x:f>'门店周数据录入'!A13</x:f>
        <x:v>2区</x:v>
      </x:c>
      <x:c r="B13" s="24" t="str">
        <x:f>'门店周数据录入'!B13</x:f>
        <x:v>惠济万达</x:v>
      </x:c>
      <x:c r="C13" s="54" t="n">
        <x:f>'门店周数据录入'!G13</x:f>
        <x:v>44.6</x:v>
      </x:c>
      <x:c r="D13" s="54" t="n">
        <x:f>'门店周数据录入'!M13</x:f>
        <x:v>446</x:v>
      </x:c>
      <x:c r="E13" s="54" t="n">
        <x:f>IF(C13&gt;0,D13/C13,"")</x:f>
        <x:v>10</x:v>
      </x:c>
      <x:c r="F13" s="24" t="str">
        <x:f>IF('门店周数据录入'!N13="","缺失","已填")</x:f>
        <x:v>缺失</x:v>
      </x:c>
      <x:c r="G13" s="24" t="str">
        <x:f>IF('门店周数据录入'!P13="","缺失","已填")</x:f>
        <x:v>缺失</x:v>
      </x:c>
      <x:c r="H13" s="60" t="n">
        <x:f>IF('门店周数据录入'!E13&gt;0,'门店周数据录入'!O13/'门店周数据录入'!E13,"")</x:f>
        <x:v>0.5556022261892261</x:v>
      </x:c>
      <x:c r="I13" s="24" t="str">
        <x:f>IF(H13&gt;1.05,"需确认：成交金额高于门店总营收","正常")</x:f>
        <x:v>正常</x:v>
      </x:c>
      <x:c r="J13" s="24" t="n">
        <x:f>'门店周数据录入'!Q13</x:f>
        <x:v>4</x:v>
      </x:c>
      <x:c r="K13" s="24" t="n">
        <x:f>'门店周数据录入'!R13</x:f>
        <x:v>97</x:v>
      </x:c>
      <x:c r="L13" s="24" t="n">
        <x:f>'门店周数据录入'!S13</x:f>
        <x:v>965</x:v>
      </x:c>
      <x:c r="M13" s="24" t="str">
        <x:f>IF(AND(J13&lt;=0,K13&gt;0),"数据异常",IF(J13&lt;=0,"人数缺失",IF(K13&lt;=0,"无开场/待核实",IF(L13&lt;=0,"成本缺失",IF('规则参数'!$B$23&lt;&gt;"是","成本周期待确认","完整")))))</x:f>
        <x:v>成本周期待确认</x:v>
      </x:c>
      <x:c r="N13" s="24" t="str">
        <x:f>IF(OR(AND('门店周数据录入'!O13&gt;0,C13&lt;=0),AND(K13&gt;0,J13&lt;=0)),"ERROR",IF(OR('规则参数'!$B$24&lt;&gt;"是",F13&lt;&gt;"已填",G13&lt;&gt;"已填",I13&lt;&gt;"正常",M13&lt;&gt;"完整"),"CHECK","PASS"))</x:f>
        <x:v>CHECK</x:v>
      </x:c>
      <x:c r="O13" s="39" t="str">
        <x:f>IF(N13="ERROR","立即修正人数、工时或成本，不得用于判断。",IF('规则参数'!$B$24&lt;&gt;"是","确认引流数据仅含周末/国家法定节假日；","")&amp;IF(F13="缺失","补填引流到店人数；","")&amp;IF(G13="缺失","补填办卡数；","")&amp;IF(I13&lt;&gt;"正常","确认成交金额是否含充值/跨期；","")&amp;IF(M13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14" ht="33" customHeight="1">
      <x:c r="A14" s="24" t="str">
        <x:f>'门店周数据录入'!A14</x:f>
        <x:v>2区</x:v>
      </x:c>
      <x:c r="B14" s="24" t="str">
        <x:f>'门店周数据录入'!B14</x:f>
        <x:v>新乡万达</x:v>
      </x:c>
      <x:c r="C14" s="54" t="n">
        <x:f>'门店周数据录入'!G14</x:f>
        <x:v>169.9</x:v>
      </x:c>
      <x:c r="D14" s="54" t="n">
        <x:f>'门店周数据录入'!M14</x:f>
        <x:v>1699</x:v>
      </x:c>
      <x:c r="E14" s="54" t="n">
        <x:f>IF(C14&gt;0,D14/C14,"")</x:f>
        <x:v>10</x:v>
      </x:c>
      <x:c r="F14" s="24" t="str">
        <x:f>IF('门店周数据录入'!N14="","缺失","已填")</x:f>
        <x:v>缺失</x:v>
      </x:c>
      <x:c r="G14" s="24" t="str">
        <x:f>IF('门店周数据录入'!P14="","缺失","已填")</x:f>
        <x:v>缺失</x:v>
      </x:c>
      <x:c r="H14" s="60" t="n">
        <x:f>IF('门店周数据录入'!E14&gt;0,'门店周数据录入'!O14/'门店周数据录入'!E14,"")</x:f>
        <x:v>1.5322178468749574</x:v>
      </x:c>
      <x:c r="I14" s="24" t="str">
        <x:f>IF(H14&gt;1.05,"需确认：成交金额高于门店总营收","正常")</x:f>
        <x:v>需确认：成交金额高于门店总营收</x:v>
      </x:c>
      <x:c r="J14" s="24" t="n">
        <x:f>'门店周数据录入'!Q14</x:f>
        <x:v>5</x:v>
      </x:c>
      <x:c r="K14" s="24" t="n">
        <x:f>'门店周数据录入'!R14</x:f>
        <x:v>124</x:v>
      </x:c>
      <x:c r="L14" s="24" t="n">
        <x:f>'门店周数据录入'!S14</x:f>
        <x:v>1504</x:v>
      </x:c>
      <x:c r="M14" s="24" t="str">
        <x:f>IF(AND(J14&lt;=0,K14&gt;0),"数据异常",IF(J14&lt;=0,"人数缺失",IF(K14&lt;=0,"无开场/待核实",IF(L14&lt;=0,"成本缺失",IF('规则参数'!$B$23&lt;&gt;"是","成本周期待确认","完整")))))</x:f>
        <x:v>成本周期待确认</x:v>
      </x:c>
      <x:c r="N14" s="24" t="str">
        <x:f>IF(OR(AND('门店周数据录入'!O14&gt;0,C14&lt;=0),AND(K14&gt;0,J14&lt;=0)),"ERROR",IF(OR('规则参数'!$B$24&lt;&gt;"是",F14&lt;&gt;"已填",G14&lt;&gt;"已填",I14&lt;&gt;"正常",M14&lt;&gt;"完整"),"CHECK","PASS"))</x:f>
        <x:v>CHECK</x:v>
      </x:c>
      <x:c r="O14" s="39" t="str">
        <x:f>IF(N14="ERROR","立即修正人数、工时或成本，不得用于判断。",IF('规则参数'!$B$24&lt;&gt;"是","确认引流数据仅含周末/国家法定节假日；","")&amp;IF(F14="缺失","补填引流到店人数；","")&amp;IF(G14="缺失","补填办卡数；","")&amp;IF(I14&lt;&gt;"正常","确认成交金额是否含充值/跨期；","")&amp;IF(M14&lt;&gt;"完整","确认复位工资是否覆盖周末高峰；",""))</x:f>
        <x:v>确认引流数据仅含周末/国家法定节假日；补填引流到店人数；补填办卡数；确认成交金额是否含充值/跨期；确认复位工资是否覆盖周末高峰；</x:v>
      </x:c>
    </x:row>
    <x:row r="15" ht="33" customHeight="1">
      <x:c r="A15" s="24" t="str">
        <x:f>'门店周数据录入'!A15</x:f>
        <x:v>3区</x:v>
      </x:c>
      <x:c r="B15" s="24" t="str">
        <x:f>'门店周数据录入'!B15</x:f>
        <x:v>武汉荟聚</x:v>
      </x:c>
      <x:c r="C15" s="54" t="n">
        <x:f>'门店周数据录入'!G15</x:f>
        <x:v>225.6</x:v>
      </x:c>
      <x:c r="D15" s="54" t="n">
        <x:f>'门店周数据录入'!M15</x:f>
        <x:v>2256</x:v>
      </x:c>
      <x:c r="E15" s="54" t="n">
        <x:f>IF(C15&gt;0,D15/C15,"")</x:f>
        <x:v>10</x:v>
      </x:c>
      <x:c r="F15" s="24" t="str">
        <x:f>IF('门店周数据录入'!N15="","缺失","已填")</x:f>
        <x:v>缺失</x:v>
      </x:c>
      <x:c r="G15" s="24" t="str">
        <x:f>IF('门店周数据录入'!P15="","缺失","已填")</x:f>
        <x:v>缺失</x:v>
      </x:c>
      <x:c r="H15" s="60" t="n">
        <x:f>IF('门店周数据录入'!E15&gt;0,'门店周数据录入'!O15/'门店周数据录入'!E15,"")</x:f>
        <x:v>1.495459051089024</x:v>
      </x:c>
      <x:c r="I15" s="24" t="str">
        <x:f>IF(H15&gt;1.05,"需确认：成交金额高于门店总营收","正常")</x:f>
        <x:v>需确认：成交金额高于门店总营收</x:v>
      </x:c>
      <x:c r="J15" s="24" t="n">
        <x:f>'门店周数据录入'!Q15</x:f>
        <x:v>4</x:v>
      </x:c>
      <x:c r="K15" s="24" t="n">
        <x:f>'门店周数据录入'!R15</x:f>
        <x:v>132</x:v>
      </x:c>
      <x:c r="L15" s="24" t="n">
        <x:f>'门店周数据录入'!S15</x:f>
        <x:v>1815</x:v>
      </x:c>
      <x:c r="M15" s="24" t="str">
        <x:f>IF(AND(J15&lt;=0,K15&gt;0),"数据异常",IF(J15&lt;=0,"人数缺失",IF(K15&lt;=0,"无开场/待核实",IF(L15&lt;=0,"成本缺失",IF('规则参数'!$B$23&lt;&gt;"是","成本周期待确认","完整")))))</x:f>
        <x:v>成本周期待确认</x:v>
      </x:c>
      <x:c r="N15" s="24" t="str">
        <x:f>IF(OR(AND('门店周数据录入'!O15&gt;0,C15&lt;=0),AND(K15&gt;0,J15&lt;=0)),"ERROR",IF(OR('规则参数'!$B$24&lt;&gt;"是",F15&lt;&gt;"已填",G15&lt;&gt;"已填",I15&lt;&gt;"正常",M15&lt;&gt;"完整"),"CHECK","PASS"))</x:f>
        <x:v>CHECK</x:v>
      </x:c>
      <x:c r="O15" s="39" t="str">
        <x:f>IF(N15="ERROR","立即修正人数、工时或成本，不得用于判断。",IF('规则参数'!$B$24&lt;&gt;"是","确认引流数据仅含周末/国家法定节假日；","")&amp;IF(F15="缺失","补填引流到店人数；","")&amp;IF(G15="缺失","补填办卡数；","")&amp;IF(I15&lt;&gt;"正常","确认成交金额是否含充值/跨期；","")&amp;IF(M15&lt;&gt;"完整","确认复位工资是否覆盖周末高峰；",""))</x:f>
        <x:v>确认引流数据仅含周末/国家法定节假日；补填引流到店人数；补填办卡数；确认成交金额是否含充值/跨期；确认复位工资是否覆盖周末高峰；</x:v>
      </x:c>
    </x:row>
    <x:row r="16" ht="33" customHeight="1">
      <x:c r="A16" s="24" t="str">
        <x:f>'门店周数据录入'!A16</x:f>
        <x:v>2区</x:v>
      </x:c>
      <x:c r="B16" s="24" t="str">
        <x:f>'门店周数据录入'!B16</x:f>
        <x:v>洛阳中州</x:v>
      </x:c>
      <x:c r="C16" s="54" t="n">
        <x:f>'门店周数据录入'!G16</x:f>
        <x:v>150</x:v>
      </x:c>
      <x:c r="D16" s="54" t="n">
        <x:f>'门店周数据录入'!M16</x:f>
        <x:v>1500</x:v>
      </x:c>
      <x:c r="E16" s="54" t="n">
        <x:f>IF(C16&gt;0,D16/C16,"")</x:f>
        <x:v>10</x:v>
      </x:c>
      <x:c r="F16" s="24" t="str">
        <x:f>IF('门店周数据录入'!N16="","缺失","已填")</x:f>
        <x:v>缺失</x:v>
      </x:c>
      <x:c r="G16" s="24" t="str">
        <x:f>IF('门店周数据录入'!P16="","缺失","已填")</x:f>
        <x:v>缺失</x:v>
      </x:c>
      <x:c r="H16" s="60" t="n">
        <x:f>IF('门店周数据录入'!E16&gt;0,'门店周数据录入'!O16/'门店周数据录入'!E16,"")</x:f>
        <x:v>0.3550907477334818</x:v>
      </x:c>
      <x:c r="I16" s="24" t="str">
        <x:f>IF(H16&gt;1.05,"需确认：成交金额高于门店总营收","正常")</x:f>
        <x:v>正常</x:v>
      </x:c>
      <x:c r="J16" s="24" t="n">
        <x:f>'门店周数据录入'!Q16</x:f>
        <x:v>7</x:v>
      </x:c>
      <x:c r="K16" s="24" t="n">
        <x:f>'门店周数据录入'!R16</x:f>
        <x:v>180</x:v>
      </x:c>
      <x:c r="L16" s="24" t="n">
        <x:f>'门店周数据录入'!S16</x:f>
        <x:v>2629</x:v>
      </x:c>
      <x:c r="M16" s="24" t="str">
        <x:f>IF(AND(J16&lt;=0,K16&gt;0),"数据异常",IF(J16&lt;=0,"人数缺失",IF(K16&lt;=0,"无开场/待核实",IF(L16&lt;=0,"成本缺失",IF('规则参数'!$B$23&lt;&gt;"是","成本周期待确认","完整")))))</x:f>
        <x:v>成本周期待确认</x:v>
      </x:c>
      <x:c r="N16" s="24" t="str">
        <x:f>IF(OR(AND('门店周数据录入'!O16&gt;0,C16&lt;=0),AND(K16&gt;0,J16&lt;=0)),"ERROR",IF(OR('规则参数'!$B$24&lt;&gt;"是",F16&lt;&gt;"已填",G16&lt;&gt;"已填",I16&lt;&gt;"正常",M16&lt;&gt;"完整"),"CHECK","PASS"))</x:f>
        <x:v>CHECK</x:v>
      </x:c>
      <x:c r="O16" s="39" t="str">
        <x:f>IF(N16="ERROR","立即修正人数、工时或成本，不得用于判断。",IF('规则参数'!$B$24&lt;&gt;"是","确认引流数据仅含周末/国家法定节假日；","")&amp;IF(F16="缺失","补填引流到店人数；","")&amp;IF(G16="缺失","补填办卡数；","")&amp;IF(I16&lt;&gt;"正常","确认成交金额是否含充值/跨期；","")&amp;IF(M16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17" ht="33" customHeight="1">
      <x:c r="A17" s="24" t="str">
        <x:f>'门店周数据录入'!A17</x:f>
        <x:v>2区</x:v>
      </x:c>
      <x:c r="B17" s="24" t="str">
        <x:f>'门店周数据录入'!B17</x:f>
        <x:v>洛阳泉舜</x:v>
      </x:c>
      <x:c r="C17" s="54" t="n">
        <x:f>'门店周数据录入'!G17</x:f>
        <x:v>90.8</x:v>
      </x:c>
      <x:c r="D17" s="54" t="n">
        <x:f>'门店周数据录入'!M17</x:f>
        <x:v>908</x:v>
      </x:c>
      <x:c r="E17" s="54" t="n">
        <x:f>IF(C17&gt;0,D17/C17,"")</x:f>
        <x:v>10</x:v>
      </x:c>
      <x:c r="F17" s="24" t="str">
        <x:f>IF('门店周数据录入'!N17="","缺失","已填")</x:f>
        <x:v>缺失</x:v>
      </x:c>
      <x:c r="G17" s="24" t="str">
        <x:f>IF('门店周数据录入'!P17="","缺失","已填")</x:f>
        <x:v>缺失</x:v>
      </x:c>
      <x:c r="H17" s="60" t="n">
        <x:f>IF('门店周数据录入'!E17&gt;0,'门店周数据录入'!O17/'门店周数据录入'!E17,"")</x:f>
        <x:v>0.35738692107310804</x:v>
      </x:c>
      <x:c r="I17" s="24" t="str">
        <x:f>IF(H17&gt;1.05,"需确认：成交金额高于门店总营收","正常")</x:f>
        <x:v>正常</x:v>
      </x:c>
      <x:c r="J17" s="24" t="n">
        <x:f>'门店周数据录入'!Q17</x:f>
        <x:v>4</x:v>
      </x:c>
      <x:c r="K17" s="24" t="n">
        <x:f>'门店周数据录入'!R17</x:f>
        <x:v>173</x:v>
      </x:c>
      <x:c r="L17" s="24" t="n">
        <x:f>'门店周数据录入'!S17</x:f>
        <x:v>1774</x:v>
      </x:c>
      <x:c r="M17" s="24" t="str">
        <x:f>IF(AND(J17&lt;=0,K17&gt;0),"数据异常",IF(J17&lt;=0,"人数缺失",IF(K17&lt;=0,"无开场/待核实",IF(L17&lt;=0,"成本缺失",IF('规则参数'!$B$23&lt;&gt;"是","成本周期待确认","完整")))))</x:f>
        <x:v>成本周期待确认</x:v>
      </x:c>
      <x:c r="N17" s="24" t="str">
        <x:f>IF(OR(AND('门店周数据录入'!O17&gt;0,C17&lt;=0),AND(K17&gt;0,J17&lt;=0)),"ERROR",IF(OR('规则参数'!$B$24&lt;&gt;"是",F17&lt;&gt;"已填",G17&lt;&gt;"已填",I17&lt;&gt;"正常",M17&lt;&gt;"完整"),"CHECK","PASS"))</x:f>
        <x:v>CHECK</x:v>
      </x:c>
      <x:c r="O17" s="39" t="str">
        <x:f>IF(N17="ERROR","立即修正人数、工时或成本，不得用于判断。",IF('规则参数'!$B$24&lt;&gt;"是","确认引流数据仅含周末/国家法定节假日；","")&amp;IF(F17="缺失","补填引流到店人数；","")&amp;IF(G17="缺失","补填办卡数；","")&amp;IF(I17&lt;&gt;"正常","确认成交金额是否含充值/跨期；","")&amp;IF(M17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18" ht="33" customHeight="1">
      <x:c r="A18" s="24" t="str">
        <x:f>'门店周数据录入'!A18</x:f>
        <x:v>3区</x:v>
      </x:c>
      <x:c r="B18" s="24" t="str">
        <x:f>'门店周数据录入'!B18</x:f>
        <x:v>滑县吾悦</x:v>
      </x:c>
      <x:c r="C18" s="54" t="n">
        <x:f>'门店周数据录入'!G18</x:f>
        <x:v>77.2</x:v>
      </x:c>
      <x:c r="D18" s="54" t="n">
        <x:f>'门店周数据录入'!M18</x:f>
        <x:v>772</x:v>
      </x:c>
      <x:c r="E18" s="54" t="n">
        <x:f>IF(C18&gt;0,D18/C18,"")</x:f>
        <x:v>10</x:v>
      </x:c>
      <x:c r="F18" s="24" t="str">
        <x:f>IF('门店周数据录入'!N18="","缺失","已填")</x:f>
        <x:v>缺失</x:v>
      </x:c>
      <x:c r="G18" s="24" t="str">
        <x:f>IF('门店周数据录入'!P18="","缺失","已填")</x:f>
        <x:v>缺失</x:v>
      </x:c>
      <x:c r="H18" s="60" t="n">
        <x:f>IF('门店周数据录入'!E18&gt;0,'门店周数据录入'!O18/'门店周数据录入'!E18,"")</x:f>
        <x:v>0.4790664780763791</x:v>
      </x:c>
      <x:c r="I18" s="24" t="str">
        <x:f>IF(H18&gt;1.05,"需确认：成交金额高于门店总营收","正常")</x:f>
        <x:v>正常</x:v>
      </x:c>
      <x:c r="J18" s="24" t="n">
        <x:f>'门店周数据录入'!Q18</x:f>
        <x:v>3</x:v>
      </x:c>
      <x:c r="K18" s="24" t="n">
        <x:f>'门店周数据录入'!R18</x:f>
        <x:v>41</x:v>
      </x:c>
      <x:c r="L18" s="24" t="n">
        <x:f>'门店周数据录入'!S18</x:f>
        <x:v>796</x:v>
      </x:c>
      <x:c r="M18" s="24" t="str">
        <x:f>IF(AND(J18&lt;=0,K18&gt;0),"数据异常",IF(J18&lt;=0,"人数缺失",IF(K18&lt;=0,"无开场/待核实",IF(L18&lt;=0,"成本缺失",IF('规则参数'!$B$23&lt;&gt;"是","成本周期待确认","完整")))))</x:f>
        <x:v>成本周期待确认</x:v>
      </x:c>
      <x:c r="N18" s="24" t="str">
        <x:f>IF(OR(AND('门店周数据录入'!O18&gt;0,C18&lt;=0),AND(K18&gt;0,J18&lt;=0)),"ERROR",IF(OR('规则参数'!$B$24&lt;&gt;"是",F18&lt;&gt;"已填",G18&lt;&gt;"已填",I18&lt;&gt;"正常",M18&lt;&gt;"完整"),"CHECK","PASS"))</x:f>
        <x:v>CHECK</x:v>
      </x:c>
      <x:c r="O18" s="39" t="str">
        <x:f>IF(N18="ERROR","立即修正人数、工时或成本，不得用于判断。",IF('规则参数'!$B$24&lt;&gt;"是","确认引流数据仅含周末/国家法定节假日；","")&amp;IF(F18="缺失","补填引流到店人数；","")&amp;IF(G18="缺失","补填办卡数；","")&amp;IF(I18&lt;&gt;"正常","确认成交金额是否含充值/跨期；","")&amp;IF(M18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19" ht="33" customHeight="1">
      <x:c r="A19" s="24" t="str">
        <x:f>'门店周数据录入'!A19</x:f>
        <x:v>2区</x:v>
      </x:c>
      <x:c r="B19" s="24" t="str">
        <x:f>'门店周数据录入'!B19</x:f>
        <x:v>焦作万达</x:v>
      </x:c>
      <x:c r="C19" s="54" t="n">
        <x:f>'门店周数据录入'!G19</x:f>
        <x:v>224</x:v>
      </x:c>
      <x:c r="D19" s="54" t="n">
        <x:f>'门店周数据录入'!M19</x:f>
        <x:v>2240</x:v>
      </x:c>
      <x:c r="E19" s="54" t="n">
        <x:f>IF(C19&gt;0,D19/C19,"")</x:f>
        <x:v>10</x:v>
      </x:c>
      <x:c r="F19" s="24" t="str">
        <x:f>IF('门店周数据录入'!N19="","缺失","已填")</x:f>
        <x:v>缺失</x:v>
      </x:c>
      <x:c r="G19" s="24" t="str">
        <x:f>IF('门店周数据录入'!P19="","缺失","已填")</x:f>
        <x:v>缺失</x:v>
      </x:c>
      <x:c r="H19" s="60" t="n">
        <x:f>IF('门店周数据录入'!E19&gt;0,'门店周数据录入'!O19/'门店周数据录入'!E19,"")</x:f>
        <x:v>0.9656275823267754</x:v>
      </x:c>
      <x:c r="I19" s="24" t="str">
        <x:f>IF(H19&gt;1.05,"需确认：成交金额高于门店总营收","正常")</x:f>
        <x:v>正常</x:v>
      </x:c>
      <x:c r="J19" s="24" t="n">
        <x:f>'门店周数据录入'!Q19</x:f>
        <x:v>6</x:v>
      </x:c>
      <x:c r="K19" s="24" t="n">
        <x:f>'门店周数据录入'!R19</x:f>
        <x:v>198</x:v>
      </x:c>
      <x:c r="L19" s="24" t="n">
        <x:f>'门店周数据录入'!S19</x:f>
        <x:v>2005</x:v>
      </x:c>
      <x:c r="M19" s="24" t="str">
        <x:f>IF(AND(J19&lt;=0,K19&gt;0),"数据异常",IF(J19&lt;=0,"人数缺失",IF(K19&lt;=0,"无开场/待核实",IF(L19&lt;=0,"成本缺失",IF('规则参数'!$B$23&lt;&gt;"是","成本周期待确认","完整")))))</x:f>
        <x:v>成本周期待确认</x:v>
      </x:c>
      <x:c r="N19" s="24" t="str">
        <x:f>IF(OR(AND('门店周数据录入'!O19&gt;0,C19&lt;=0),AND(K19&gt;0,J19&lt;=0)),"ERROR",IF(OR('规则参数'!$B$24&lt;&gt;"是",F19&lt;&gt;"已填",G19&lt;&gt;"已填",I19&lt;&gt;"正常",M19&lt;&gt;"完整"),"CHECK","PASS"))</x:f>
        <x:v>CHECK</x:v>
      </x:c>
      <x:c r="O19" s="39" t="str">
        <x:f>IF(N19="ERROR","立即修正人数、工时或成本，不得用于判断。",IF('规则参数'!$B$24&lt;&gt;"是","确认引流数据仅含周末/国家法定节假日；","")&amp;IF(F19="缺失","补填引流到店人数；","")&amp;IF(G19="缺失","补填办卡数；","")&amp;IF(I19&lt;&gt;"正常","确认成交金额是否含充值/跨期；","")&amp;IF(M19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20" ht="33" customHeight="1">
      <x:c r="A20" s="24" t="str">
        <x:f>'门店周数据录入'!A20</x:f>
        <x:v>1区</x:v>
      </x:c>
      <x:c r="B20" s="24" t="str">
        <x:f>'门店周数据录入'!B20</x:f>
        <x:v>襄阳高新万达</x:v>
      </x:c>
      <x:c r="C20" s="54" t="n">
        <x:f>'门店周数据录入'!G20</x:f>
        <x:v>57.5</x:v>
      </x:c>
      <x:c r="D20" s="54" t="n">
        <x:f>'门店周数据录入'!M20</x:f>
        <x:v>575</x:v>
      </x:c>
      <x:c r="E20" s="54" t="n">
        <x:f>IF(C20&gt;0,D20/C20,"")</x:f>
        <x:v>10</x:v>
      </x:c>
      <x:c r="F20" s="24" t="str">
        <x:f>IF('门店周数据录入'!N20="","缺失","已填")</x:f>
        <x:v>缺失</x:v>
      </x:c>
      <x:c r="G20" s="24" t="str">
        <x:f>IF('门店周数据录入'!P20="","缺失","已填")</x:f>
        <x:v>缺失</x:v>
      </x:c>
      <x:c r="H20" s="60" t="n">
        <x:f>IF('门店周数据录入'!E20&gt;0,'门店周数据录入'!O20/'门店周数据录入'!E20,"")</x:f>
        <x:v>0.3456337815379967</x:v>
      </x:c>
      <x:c r="I20" s="24" t="str">
        <x:f>IF(H20&gt;1.05,"需确认：成交金额高于门店总营收","正常")</x:f>
        <x:v>正常</x:v>
      </x:c>
      <x:c r="J20" s="24" t="n">
        <x:f>'门店周数据录入'!Q20</x:f>
        <x:v>4</x:v>
      </x:c>
      <x:c r="K20" s="24" t="n">
        <x:f>'门店周数据录入'!R20</x:f>
        <x:v>105</x:v>
      </x:c>
      <x:c r="L20" s="24" t="n">
        <x:f>'门店周数据录入'!S20</x:f>
        <x:v>281</x:v>
      </x:c>
      <x:c r="M20" s="24" t="str">
        <x:f>IF(AND(J20&lt;=0,K20&gt;0),"数据异常",IF(J20&lt;=0,"人数缺失",IF(K20&lt;=0,"无开场/待核实",IF(L20&lt;=0,"成本缺失",IF('规则参数'!$B$23&lt;&gt;"是","成本周期待确认","完整")))))</x:f>
        <x:v>成本周期待确认</x:v>
      </x:c>
      <x:c r="N20" s="24" t="str">
        <x:f>IF(OR(AND('门店周数据录入'!O20&gt;0,C20&lt;=0),AND(K20&gt;0,J20&lt;=0)),"ERROR",IF(OR('规则参数'!$B$24&lt;&gt;"是",F20&lt;&gt;"已填",G20&lt;&gt;"已填",I20&lt;&gt;"正常",M20&lt;&gt;"完整"),"CHECK","PASS"))</x:f>
        <x:v>CHECK</x:v>
      </x:c>
      <x:c r="O20" s="39" t="str">
        <x:f>IF(N20="ERROR","立即修正人数、工时或成本，不得用于判断。",IF('规则参数'!$B$24&lt;&gt;"是","确认引流数据仅含周末/国家法定节假日；","")&amp;IF(F20="缺失","补填引流到店人数；","")&amp;IF(G20="缺失","补填办卡数；","")&amp;IF(I20&lt;&gt;"正常","确认成交金额是否含充值/跨期；","")&amp;IF(M20&lt;&gt;"完整","确认复位工资是否覆盖周末高峰；",""))</x:f>
        <x:v>确认引流数据仅含周末/国家法定节假日；补填引流到店人数；补填办卡数；确认复位工资是否覆盖周末高峰；</x:v>
      </x:c>
    </x:row>
    <x:row r="21" ht="33" customHeight="1">
      <x:c r="A21" s="24" t="str">
        <x:f>'门店周数据录入'!A21</x:f>
        <x:v>1区</x:v>
      </x:c>
      <x:c r="B21" s="24" t="str">
        <x:f>'门店周数据录入'!B21</x:f>
        <x:v>许昌万达</x:v>
      </x:c>
      <x:c r="C21" s="54" t="n">
        <x:f>'门店周数据录入'!G21</x:f>
        <x:v>89.6</x:v>
      </x:c>
      <x:c r="D21" s="54" t="n">
        <x:f>'门店周数据录入'!M21</x:f>
        <x:v>896</x:v>
      </x:c>
      <x:c r="E21" s="54" t="n">
        <x:f>IF(C21&gt;0,D21/C21,"")</x:f>
        <x:v>10</x:v>
      </x:c>
      <x:c r="F21" s="24" t="str">
        <x:f>IF('门店周数据录入'!N21="","缺失","已填")</x:f>
        <x:v>缺失</x:v>
      </x:c>
      <x:c r="G21" s="24" t="str">
        <x:f>IF('门店周数据录入'!P21="","缺失","已填")</x:f>
        <x:v>缺失</x:v>
      </x:c>
      <x:c r="H21" s="60" t="n">
        <x:f>IF('门店周数据录入'!E21&gt;0,'门店周数据录入'!O21/'门店周数据录入'!E21,"")</x:f>
        <x:v>0.5595857925291965</x:v>
      </x:c>
      <x:c r="I21" s="24" t="str">
        <x:f>IF(H21&gt;1.05,"需确认：成交金额高于门店总营收","正常")</x:f>
        <x:v>正常</x:v>
      </x:c>
      <x:c r="J21" s="24" t="n">
        <x:f>'门店周数据录入'!Q21</x:f>
        <x:v>0</x:v>
      </x:c>
      <x:c r="K21" s="24" t="n">
        <x:f>'门店周数据录入'!R21</x:f>
        <x:v>128</x:v>
      </x:c>
      <x:c r="L21" s="24" t="n">
        <x:f>'门店周数据录入'!S21</x:f>
        <x:v>0</x:v>
      </x:c>
      <x:c r="M21" s="24" t="str">
        <x:f>IF(AND(J21&lt;=0,K21&gt;0),"数据异常",IF(J21&lt;=0,"人数缺失",IF(K21&lt;=0,"无开场/待核实",IF(L21&lt;=0,"成本缺失",IF('规则参数'!$B$23&lt;&gt;"是","成本周期待确认","完整")))))</x:f>
        <x:v>数据异常</x:v>
      </x:c>
      <x:c r="N21" s="24" t="str">
        <x:f>IF(OR(AND('门店周数据录入'!O21&gt;0,C21&lt;=0),AND(K21&gt;0,J21&lt;=0)),"ERROR",IF(OR('规则参数'!$B$24&lt;&gt;"是",F21&lt;&gt;"已填",G21&lt;&gt;"已填",I21&lt;&gt;"正常",M21&lt;&gt;"完整"),"CHECK","PASS"))</x:f>
        <x:v>ERROR</x:v>
      </x:c>
      <x:c r="O21" s="39" t="str">
        <x:f>IF(N21="ERROR","立即修正人数、工时或成本，不得用于判断。",IF('规则参数'!$B$24&lt;&gt;"是","确认引流数据仅含周末/国家法定节假日；","")&amp;IF(F21="缺失","补填引流到店人数；","")&amp;IF(G21="缺失","补填办卡数；","")&amp;IF(I21&lt;&gt;"正常","确认成交金额是否含充值/跨期；","")&amp;IF(M21&lt;&gt;"完整","确认复位工资是否覆盖周末高峰；",""))</x:f>
        <x:v>立即修正人数、工时或成本，不得用于判断。</x:v>
      </x:c>
    </x:row>
    <x:row r="22" ht="33" customHeight="1">
      <x:c r="A22" s="25" t="str">
        <x:f>'门店周数据录入'!A22</x:f>
        <x:v>2区</x:v>
      </x:c>
      <x:c r="B22" s="25" t="str">
        <x:f>'门店周数据录入'!B22</x:f>
        <x:v>郑州信万</x:v>
      </x:c>
      <x:c r="C22" s="55" t="n">
        <x:f>'门店周数据录入'!G22</x:f>
        <x:v>149.6</x:v>
      </x:c>
      <x:c r="D22" s="55" t="n">
        <x:f>'门店周数据录入'!M22</x:f>
        <x:v>1496</x:v>
      </x:c>
      <x:c r="E22" s="55" t="n">
        <x:f>IF(C22&gt;0,D22/C22,"")</x:f>
        <x:v>10</x:v>
      </x:c>
      <x:c r="F22" s="25" t="str">
        <x:f>IF('门店周数据录入'!N22="","缺失","已填")</x:f>
        <x:v>缺失</x:v>
      </x:c>
      <x:c r="G22" s="25" t="str">
        <x:f>IF('门店周数据录入'!P22="","缺失","已填")</x:f>
        <x:v>缺失</x:v>
      </x:c>
      <x:c r="H22" s="61" t="n">
        <x:f>IF('门店周数据录入'!E22&gt;0,'门店周数据录入'!O22/'门店周数据录入'!E22,"")</x:f>
        <x:v>1.4273204363037661</x:v>
      </x:c>
      <x:c r="I22" s="25" t="str">
        <x:f>IF(H22&gt;1.05,"需确认：成交金额高于门店总营收","正常")</x:f>
        <x:v>需确认：成交金额高于门店总营收</x:v>
      </x:c>
      <x:c r="J22" s="25" t="n">
        <x:f>'门店周数据录入'!Q22</x:f>
        <x:v>4</x:v>
      </x:c>
      <x:c r="K22" s="25" t="n">
        <x:f>'门店周数据录入'!R22</x:f>
        <x:v>83</x:v>
      </x:c>
      <x:c r="L22" s="25" t="n">
        <x:f>'门店周数据录入'!S22</x:f>
        <x:v>1546</x:v>
      </x:c>
      <x:c r="M22" s="25" t="str">
        <x:f>IF(AND(J22&lt;=0,K22&gt;0),"数据异常",IF(J22&lt;=0,"人数缺失",IF(K22&lt;=0,"无开场/待核实",IF(L22&lt;=0,"成本缺失",IF('规则参数'!$B$23&lt;&gt;"是","成本周期待确认","完整")))))</x:f>
        <x:v>成本周期待确认</x:v>
      </x:c>
      <x:c r="N22" s="25" t="str">
        <x:f>IF(OR(AND('门店周数据录入'!O22&gt;0,C22&lt;=0),AND(K22&gt;0,J22&lt;=0)),"ERROR",IF(OR('规则参数'!$B$24&lt;&gt;"是",F22&lt;&gt;"已填",G22&lt;&gt;"已填",I22&lt;&gt;"正常",M22&lt;&gt;"完整"),"CHECK","PASS"))</x:f>
        <x:v>CHECK</x:v>
      </x:c>
      <x:c r="O22" s="40" t="str">
        <x:f>IF(N22="ERROR","立即修正人数、工时或成本，不得用于判断。",IF('规则参数'!$B$24&lt;&gt;"是","确认引流数据仅含周末/国家法定节假日；","")&amp;IF(F22="缺失","补填引流到店人数；","")&amp;IF(G22="缺失","补填办卡数；","")&amp;IF(I22&lt;&gt;"正常","确认成交金额是否含充值/跨期；","")&amp;IF(M22&lt;&gt;"完整","确认复位工资是否覆盖周末高峰；",""))</x:f>
        <x:v>确认引流数据仅含周末/国家法定节假日；补填引流到店人数；补填办卡数；确认成交金额是否含充值/跨期；确认复位工资是否覆盖周末高峰；</x:v>
      </x:c>
    </x:row>
  </x:sheetData>
  <x:mergeCells>
    <x:mergeCell ref="A1:O1"/>
    <x:mergeCell ref="A2:O2"/>
  </x:mergeCells>
  <x:conditionalFormatting sqref="F4:N22">
    <x:cfRule type="containsText" dxfId="30" priority="1" operator="containsText" text="优秀"/>
    <x:cfRule type="containsText" dxfId="31" priority="2" operator="containsText" text="合理"/>
    <x:cfRule type="containsText" dxfId="32" priority="3" operator="containsText" text="正常"/>
    <x:cfRule type="containsText" dxfId="33" priority="4" operator="containsText" text="PASS"/>
    <x:cfRule type="containsText" dxfId="34" priority="5" operator="containsText" text="观察"/>
    <x:cfRule type="containsText" dxfId="35" priority="6" operator="containsText" text="缺失"/>
    <x:cfRule type="containsText" dxfId="36" priority="7" operator="containsText" text="待核实"/>
    <x:cfRule type="containsText" dxfId="37" priority="8" operator="containsText" text="待确认"/>
    <x:cfRule type="containsText" dxfId="38" priority="9" operator="containsText" text="CHECK"/>
    <x:cfRule type="containsText" dxfId="39" priority="10" operator="containsText" text="低效"/>
    <x:cfRule type="containsText" dxfId="40" priority="11" operator="containsText" text="偏紧"/>
    <x:cfRule type="containsText" dxfId="41" priority="12" operator="containsText" text="异常"/>
    <x:cfRule type="containsText" dxfId="42" priority="13" operator="containsText" text="ERROR"/>
    <x:cfRule type="containsText" dxfId="43" priority="14" operator="containsText" text="必须处理"/>
    <x:cfRule type="containsText" dxfId="44" priority="15" operator="containsText" text="必须补数据"/>
  </x:conditionalFormatting>
  <x:pageMargins left="0.7" right="0.7" top="0.75" bottom="0.75" header="0.3" footer="0.3"/>
  <x:tableParts count="1">
    <x:tablePart xmlns:r="http://schemas.openxmlformats.org/officeDocument/2006/relationships" r:id="Rd6f3667636a348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5600004196167" hidden="0" customWidth="1"/>
    <x:col min="2" max="2" width="15" hidden="0" customWidth="1"/>
    <x:col min="3" max="3" width="10" hidden="0" customWidth="1"/>
    <x:col min="4" max="4" width="10" hidden="0" customWidth="1"/>
    <x:col min="5" max="5" width="8.890000343322754" hidden="0" customWidth="1"/>
    <x:col min="6" max="6" width="8.890000343322754" hidden="0" customWidth="1"/>
    <x:col min="7" max="7" width="8.890000343322754" hidden="0" customWidth="1"/>
    <x:col min="8" max="8" width="12.220000267028809" hidden="0" customWidth="1"/>
    <x:col min="9" max="9" width="12.779999732971191" hidden="0" customWidth="1"/>
    <x:col min="10" max="10" width="11.109999656677246" hidden="0" customWidth="1"/>
    <x:col min="11" max="11" width="11.670000076293945" hidden="0" customWidth="1"/>
    <x:col min="12" max="12" width="10" hidden="0" customWidth="1"/>
    <x:col min="13" max="13" width="12.779999732971191" hidden="0" customWidth="1"/>
    <x:col min="14" max="14" width="13.890000343322754" hidden="0" customWidth="1"/>
    <x:col min="15" max="15" width="11.109999656677246" hidden="0" customWidth="1"/>
    <x:col min="16" max="16" width="12.779999732971191" hidden="0" customWidth="1"/>
    <x:col min="17" max="17" width="28.889999389648438" hidden="0" customWidth="1"/>
  </x:cols>
  <x:sheetData>
    <x:row r="1" ht="30" customHeight="1">
      <x:c r="A1" s="4" t="str">
        <x:v>店长每日填写模板（用于下一周滚动汇总）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>
      <x:c r="A2" s="36" t="str">
        <x:v>每个周六、周日和国家法定节假日每天一行；黄色列由店长填写。引流实际成本=工时×实际时薪+额外提成/奖励。复位字段只填周六、周日14:00-20:00；唯一账单ID计1个房间波次。空白=未填，0=确认没有。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</x:row>
    <x:row r="3" ht="34.5" customHeight="1">
      <x:c r="A3" s="16" t="str">
        <x:v>日期</x:v>
      </x:c>
      <x:c r="B3" s="17" t="str">
        <x:v>门店</x:v>
      </x:c>
      <x:c r="C3" s="17" t="str">
        <x:v>日期类型</x:v>
      </x:c>
      <x:c r="D3" s="17" t="str">
        <x:v>是否节假日</x:v>
      </x:c>
      <x:c r="E3" s="17" t="str">
        <x:v>引流人数</x:v>
      </x:c>
      <x:c r="F3" s="17" t="str">
        <x:v>引流工时</x:v>
      </x:c>
      <x:c r="G3" s="17" t="str">
        <x:v>实际时薪</x:v>
      </x:c>
      <x:c r="H3" s="17" t="str">
        <x:v>额外提成/奖励</x:v>
      </x:c>
      <x:c r="I3" s="17" t="str">
        <x:v>引流实际人工成本</x:v>
      </x:c>
      <x:c r="J3" s="17" t="str">
        <x:v>引流到店人数</x:v>
      </x:c>
      <x:c r="K3" s="17" t="str">
        <x:v>引流成交金额</x:v>
      </x:c>
      <x:c r="L3" s="17" t="str">
        <x:v>引流办卡数</x:v>
      </x:c>
      <x:c r="M3" s="17" t="str">
        <x:v>当日高峰复位人数</x:v>
      </x:c>
      <x:c r="N3" s="17" t="str">
        <x:v>当日14-20唯一账单数</x:v>
      </x:c>
      <x:c r="O3" s="17" t="str">
        <x:v>复位高峰工时</x:v>
      </x:c>
      <x:c r="P3" s="17" t="str">
        <x:v>复位实际人工成本</x:v>
      </x:c>
      <x:c r="Q3" s="18" t="str">
        <x:v>备注</x:v>
      </x:c>
    </x:row>
    <x:row r="4">
      <x:c r="A4" s="100"/>
      <x:c r="B4" s="26"/>
      <x:c r="C4" s="26"/>
      <x:c r="D4" s="26"/>
      <x:c r="E4" s="47"/>
      <x:c r="F4" s="47"/>
      <x:c r="G4" s="47"/>
      <x:c r="H4" s="47"/>
      <x:c r="I4" s="50" t="str">
        <x:f>IF(F4="","",F4*IF(G4="",'规则参数'!$B$18,G4)+IF(H4="",0,H4))</x:f>
      </x:c>
      <x:c r="J4" s="47"/>
      <x:c r="K4" s="47"/>
      <x:c r="L4" s="47"/>
      <x:c r="M4" s="47"/>
      <x:c r="N4" s="47"/>
      <x:c r="O4" s="47"/>
      <x:c r="P4" s="47"/>
      <x:c r="Q4" s="26"/>
    </x:row>
    <x:row r="5">
      <x:c r="A5" s="101"/>
      <x:c r="B5" s="27"/>
      <x:c r="C5" s="27"/>
      <x:c r="D5" s="27"/>
      <x:c r="E5" s="48"/>
      <x:c r="F5" s="48"/>
      <x:c r="G5" s="48"/>
      <x:c r="H5" s="48"/>
      <x:c r="I5" s="51" t="str">
        <x:f>IF(F5="","",F5*IF(G5="",'规则参数'!$B$18,G5)+IF(H5="",0,H5))</x:f>
      </x:c>
      <x:c r="J5" s="48"/>
      <x:c r="K5" s="48"/>
      <x:c r="L5" s="48"/>
      <x:c r="M5" s="48"/>
      <x:c r="N5" s="48"/>
      <x:c r="O5" s="48"/>
      <x:c r="P5" s="48"/>
      <x:c r="Q5" s="27"/>
    </x:row>
    <x:row r="6">
      <x:c r="A6" s="101"/>
      <x:c r="B6" s="27"/>
      <x:c r="C6" s="27"/>
      <x:c r="D6" s="27"/>
      <x:c r="E6" s="48"/>
      <x:c r="F6" s="48"/>
      <x:c r="G6" s="48"/>
      <x:c r="H6" s="48"/>
      <x:c r="I6" s="51" t="str">
        <x:f>IF(F6="","",F6*IF(G6="",'规则参数'!$B$18,G6)+IF(H6="",0,H6))</x:f>
      </x:c>
      <x:c r="J6" s="48"/>
      <x:c r="K6" s="48"/>
      <x:c r="L6" s="48"/>
      <x:c r="M6" s="48"/>
      <x:c r="N6" s="48"/>
      <x:c r="O6" s="48"/>
      <x:c r="P6" s="48"/>
      <x:c r="Q6" s="27"/>
    </x:row>
    <x:row r="7">
      <x:c r="A7" s="101"/>
      <x:c r="B7" s="27"/>
      <x:c r="C7" s="27"/>
      <x:c r="D7" s="27"/>
      <x:c r="E7" s="48"/>
      <x:c r="F7" s="48"/>
      <x:c r="G7" s="48"/>
      <x:c r="H7" s="48"/>
      <x:c r="I7" s="51" t="str">
        <x:f>IF(F7="","",F7*IF(G7="",'规则参数'!$B$18,G7)+IF(H7="",0,H7))</x:f>
      </x:c>
      <x:c r="J7" s="48"/>
      <x:c r="K7" s="48"/>
      <x:c r="L7" s="48"/>
      <x:c r="M7" s="48"/>
      <x:c r="N7" s="48"/>
      <x:c r="O7" s="48"/>
      <x:c r="P7" s="48"/>
      <x:c r="Q7" s="27"/>
    </x:row>
    <x:row r="8">
      <x:c r="A8" s="101"/>
      <x:c r="B8" s="27"/>
      <x:c r="C8" s="27"/>
      <x:c r="D8" s="27"/>
      <x:c r="E8" s="48"/>
      <x:c r="F8" s="48"/>
      <x:c r="G8" s="48"/>
      <x:c r="H8" s="48"/>
      <x:c r="I8" s="51" t="str">
        <x:f>IF(F8="","",F8*IF(G8="",'规则参数'!$B$18,G8)+IF(H8="",0,H8))</x:f>
      </x:c>
      <x:c r="J8" s="48"/>
      <x:c r="K8" s="48"/>
      <x:c r="L8" s="48"/>
      <x:c r="M8" s="48"/>
      <x:c r="N8" s="48"/>
      <x:c r="O8" s="48"/>
      <x:c r="P8" s="48"/>
      <x:c r="Q8" s="27"/>
    </x:row>
    <x:row r="9">
      <x:c r="A9" s="101"/>
      <x:c r="B9" s="27"/>
      <x:c r="C9" s="27"/>
      <x:c r="D9" s="27"/>
      <x:c r="E9" s="48"/>
      <x:c r="F9" s="48"/>
      <x:c r="G9" s="48"/>
      <x:c r="H9" s="48"/>
      <x:c r="I9" s="51" t="str">
        <x:f>IF(F9="","",F9*IF(G9="",'规则参数'!$B$18,G9)+IF(H9="",0,H9))</x:f>
      </x:c>
      <x:c r="J9" s="48"/>
      <x:c r="K9" s="48"/>
      <x:c r="L9" s="48"/>
      <x:c r="M9" s="48"/>
      <x:c r="N9" s="48"/>
      <x:c r="O9" s="48"/>
      <x:c r="P9" s="48"/>
      <x:c r="Q9" s="27"/>
    </x:row>
    <x:row r="10">
      <x:c r="A10" s="101"/>
      <x:c r="B10" s="27"/>
      <x:c r="C10" s="27"/>
      <x:c r="D10" s="27"/>
      <x:c r="E10" s="48"/>
      <x:c r="F10" s="48"/>
      <x:c r="G10" s="48"/>
      <x:c r="H10" s="48"/>
      <x:c r="I10" s="51" t="str">
        <x:f>IF(F10="","",F10*IF(G10="",'规则参数'!$B$18,G10)+IF(H10="",0,H10))</x:f>
      </x:c>
      <x:c r="J10" s="48"/>
      <x:c r="K10" s="48"/>
      <x:c r="L10" s="48"/>
      <x:c r="M10" s="48"/>
      <x:c r="N10" s="48"/>
      <x:c r="O10" s="48"/>
      <x:c r="P10" s="48"/>
      <x:c r="Q10" s="27"/>
    </x:row>
    <x:row r="11">
      <x:c r="A11" s="101"/>
      <x:c r="B11" s="27"/>
      <x:c r="C11" s="27"/>
      <x:c r="D11" s="27"/>
      <x:c r="E11" s="48"/>
      <x:c r="F11" s="48"/>
      <x:c r="G11" s="48"/>
      <x:c r="H11" s="48"/>
      <x:c r="I11" s="51" t="str">
        <x:f>IF(F11="","",F11*IF(G11="",'规则参数'!$B$18,G11)+IF(H11="",0,H11))</x:f>
      </x:c>
      <x:c r="J11" s="48"/>
      <x:c r="K11" s="48"/>
      <x:c r="L11" s="48"/>
      <x:c r="M11" s="48"/>
      <x:c r="N11" s="48"/>
      <x:c r="O11" s="48"/>
      <x:c r="P11" s="48"/>
      <x:c r="Q11" s="27"/>
    </x:row>
    <x:row r="12">
      <x:c r="A12" s="101"/>
      <x:c r="B12" s="27"/>
      <x:c r="C12" s="27"/>
      <x:c r="D12" s="27"/>
      <x:c r="E12" s="48"/>
      <x:c r="F12" s="48"/>
      <x:c r="G12" s="48"/>
      <x:c r="H12" s="48"/>
      <x:c r="I12" s="51" t="str">
        <x:f>IF(F12="","",F12*IF(G12="",'规则参数'!$B$18,G12)+IF(H12="",0,H12))</x:f>
      </x:c>
      <x:c r="J12" s="48"/>
      <x:c r="K12" s="48"/>
      <x:c r="L12" s="48"/>
      <x:c r="M12" s="48"/>
      <x:c r="N12" s="48"/>
      <x:c r="O12" s="48"/>
      <x:c r="P12" s="48"/>
      <x:c r="Q12" s="27"/>
    </x:row>
    <x:row r="13">
      <x:c r="A13" s="101"/>
      <x:c r="B13" s="27"/>
      <x:c r="C13" s="27"/>
      <x:c r="D13" s="27"/>
      <x:c r="E13" s="48"/>
      <x:c r="F13" s="48"/>
      <x:c r="G13" s="48"/>
      <x:c r="H13" s="48"/>
      <x:c r="I13" s="51" t="str">
        <x:f>IF(F13="","",F13*IF(G13="",'规则参数'!$B$18,G13)+IF(H13="",0,H13))</x:f>
      </x:c>
      <x:c r="J13" s="48"/>
      <x:c r="K13" s="48"/>
      <x:c r="L13" s="48"/>
      <x:c r="M13" s="48"/>
      <x:c r="N13" s="48"/>
      <x:c r="O13" s="48"/>
      <x:c r="P13" s="48"/>
      <x:c r="Q13" s="27"/>
    </x:row>
    <x:row r="14">
      <x:c r="A14" s="101"/>
      <x:c r="B14" s="27"/>
      <x:c r="C14" s="27"/>
      <x:c r="D14" s="27"/>
      <x:c r="E14" s="48"/>
      <x:c r="F14" s="48"/>
      <x:c r="G14" s="48"/>
      <x:c r="H14" s="48"/>
      <x:c r="I14" s="51" t="str">
        <x:f>IF(F14="","",F14*IF(G14="",'规则参数'!$B$18,G14)+IF(H14="",0,H14))</x:f>
      </x:c>
      <x:c r="J14" s="48"/>
      <x:c r="K14" s="48"/>
      <x:c r="L14" s="48"/>
      <x:c r="M14" s="48"/>
      <x:c r="N14" s="48"/>
      <x:c r="O14" s="48"/>
      <x:c r="P14" s="48"/>
      <x:c r="Q14" s="27"/>
    </x:row>
    <x:row r="15">
      <x:c r="A15" s="101"/>
      <x:c r="B15" s="27"/>
      <x:c r="C15" s="27"/>
      <x:c r="D15" s="27"/>
      <x:c r="E15" s="48"/>
      <x:c r="F15" s="48"/>
      <x:c r="G15" s="48"/>
      <x:c r="H15" s="48"/>
      <x:c r="I15" s="51" t="str">
        <x:f>IF(F15="","",F15*IF(G15="",'规则参数'!$B$18,G15)+IF(H15="",0,H15))</x:f>
      </x:c>
      <x:c r="J15" s="48"/>
      <x:c r="K15" s="48"/>
      <x:c r="L15" s="48"/>
      <x:c r="M15" s="48"/>
      <x:c r="N15" s="48"/>
      <x:c r="O15" s="48"/>
      <x:c r="P15" s="48"/>
      <x:c r="Q15" s="27"/>
    </x:row>
    <x:row r="16">
      <x:c r="A16" s="101"/>
      <x:c r="B16" s="27"/>
      <x:c r="C16" s="27"/>
      <x:c r="D16" s="27"/>
      <x:c r="E16" s="48"/>
      <x:c r="F16" s="48"/>
      <x:c r="G16" s="48"/>
      <x:c r="H16" s="48"/>
      <x:c r="I16" s="51" t="str">
        <x:f>IF(F16="","",F16*IF(G16="",'规则参数'!$B$18,G16)+IF(H16="",0,H16))</x:f>
      </x:c>
      <x:c r="J16" s="48"/>
      <x:c r="K16" s="48"/>
      <x:c r="L16" s="48"/>
      <x:c r="M16" s="48"/>
      <x:c r="N16" s="48"/>
      <x:c r="O16" s="48"/>
      <x:c r="P16" s="48"/>
      <x:c r="Q16" s="27"/>
    </x:row>
    <x:row r="17">
      <x:c r="A17" s="101"/>
      <x:c r="B17" s="27"/>
      <x:c r="C17" s="27"/>
      <x:c r="D17" s="27"/>
      <x:c r="E17" s="48"/>
      <x:c r="F17" s="48"/>
      <x:c r="G17" s="48"/>
      <x:c r="H17" s="48"/>
      <x:c r="I17" s="51" t="str">
        <x:f>IF(F17="","",F17*IF(G17="",'规则参数'!$B$18,G17)+IF(H17="",0,H17))</x:f>
      </x:c>
      <x:c r="J17" s="48"/>
      <x:c r="K17" s="48"/>
      <x:c r="L17" s="48"/>
      <x:c r="M17" s="48"/>
      <x:c r="N17" s="48"/>
      <x:c r="O17" s="48"/>
      <x:c r="P17" s="48"/>
      <x:c r="Q17" s="27"/>
    </x:row>
    <x:row r="18">
      <x:c r="A18" s="101"/>
      <x:c r="B18" s="27"/>
      <x:c r="C18" s="27"/>
      <x:c r="D18" s="27"/>
      <x:c r="E18" s="48"/>
      <x:c r="F18" s="48"/>
      <x:c r="G18" s="48"/>
      <x:c r="H18" s="48"/>
      <x:c r="I18" s="51" t="str">
        <x:f>IF(F18="","",F18*IF(G18="",'规则参数'!$B$18,G18)+IF(H18="",0,H18))</x:f>
      </x:c>
      <x:c r="J18" s="48"/>
      <x:c r="K18" s="48"/>
      <x:c r="L18" s="48"/>
      <x:c r="M18" s="48"/>
      <x:c r="N18" s="48"/>
      <x:c r="O18" s="48"/>
      <x:c r="P18" s="48"/>
      <x:c r="Q18" s="27"/>
    </x:row>
    <x:row r="19">
      <x:c r="A19" s="101"/>
      <x:c r="B19" s="27"/>
      <x:c r="C19" s="27"/>
      <x:c r="D19" s="27"/>
      <x:c r="E19" s="48"/>
      <x:c r="F19" s="48"/>
      <x:c r="G19" s="48"/>
      <x:c r="H19" s="48"/>
      <x:c r="I19" s="51" t="str">
        <x:f>IF(F19="","",F19*IF(G19="",'规则参数'!$B$18,G19)+IF(H19="",0,H19))</x:f>
      </x:c>
      <x:c r="J19" s="48"/>
      <x:c r="K19" s="48"/>
      <x:c r="L19" s="48"/>
      <x:c r="M19" s="48"/>
      <x:c r="N19" s="48"/>
      <x:c r="O19" s="48"/>
      <x:c r="P19" s="48"/>
      <x:c r="Q19" s="27"/>
    </x:row>
    <x:row r="20">
      <x:c r="A20" s="101"/>
      <x:c r="B20" s="27"/>
      <x:c r="C20" s="27"/>
      <x:c r="D20" s="27"/>
      <x:c r="E20" s="48"/>
      <x:c r="F20" s="48"/>
      <x:c r="G20" s="48"/>
      <x:c r="H20" s="48"/>
      <x:c r="I20" s="51" t="str">
        <x:f>IF(F20="","",F20*IF(G20="",'规则参数'!$B$18,G20)+IF(H20="",0,H20))</x:f>
      </x:c>
      <x:c r="J20" s="48"/>
      <x:c r="K20" s="48"/>
      <x:c r="L20" s="48"/>
      <x:c r="M20" s="48"/>
      <x:c r="N20" s="48"/>
      <x:c r="O20" s="48"/>
      <x:c r="P20" s="48"/>
      <x:c r="Q20" s="27"/>
    </x:row>
    <x:row r="21">
      <x:c r="A21" s="101"/>
      <x:c r="B21" s="27"/>
      <x:c r="C21" s="27"/>
      <x:c r="D21" s="27"/>
      <x:c r="E21" s="48"/>
      <x:c r="F21" s="48"/>
      <x:c r="G21" s="48"/>
      <x:c r="H21" s="48"/>
      <x:c r="I21" s="51" t="str">
        <x:f>IF(F21="","",F21*IF(G21="",'规则参数'!$B$18,G21)+IF(H21="",0,H21))</x:f>
      </x:c>
      <x:c r="J21" s="48"/>
      <x:c r="K21" s="48"/>
      <x:c r="L21" s="48"/>
      <x:c r="M21" s="48"/>
      <x:c r="N21" s="48"/>
      <x:c r="O21" s="48"/>
      <x:c r="P21" s="48"/>
      <x:c r="Q21" s="27"/>
    </x:row>
    <x:row r="22">
      <x:c r="A22" s="101"/>
      <x:c r="B22" s="27"/>
      <x:c r="C22" s="27"/>
      <x:c r="D22" s="27"/>
      <x:c r="E22" s="48"/>
      <x:c r="F22" s="48"/>
      <x:c r="G22" s="48"/>
      <x:c r="H22" s="48"/>
      <x:c r="I22" s="51" t="str">
        <x:f>IF(F22="","",F22*IF(G22="",'规则参数'!$B$18,G22)+IF(H22="",0,H22))</x:f>
      </x:c>
      <x:c r="J22" s="48"/>
      <x:c r="K22" s="48"/>
      <x:c r="L22" s="48"/>
      <x:c r="M22" s="48"/>
      <x:c r="N22" s="48"/>
      <x:c r="O22" s="48"/>
      <x:c r="P22" s="48"/>
      <x:c r="Q22" s="27"/>
    </x:row>
    <x:row r="23">
      <x:c r="A23" s="101"/>
      <x:c r="B23" s="27"/>
      <x:c r="C23" s="27"/>
      <x:c r="D23" s="27"/>
      <x:c r="E23" s="48"/>
      <x:c r="F23" s="48"/>
      <x:c r="G23" s="48"/>
      <x:c r="H23" s="48"/>
      <x:c r="I23" s="51" t="str">
        <x:f>IF(F23="","",F23*IF(G23="",'规则参数'!$B$18,G23)+IF(H23="",0,H23))</x:f>
      </x:c>
      <x:c r="J23" s="48"/>
      <x:c r="K23" s="48"/>
      <x:c r="L23" s="48"/>
      <x:c r="M23" s="48"/>
      <x:c r="N23" s="48"/>
      <x:c r="O23" s="48"/>
      <x:c r="P23" s="48"/>
      <x:c r="Q23" s="27"/>
    </x:row>
    <x:row r="24">
      <x:c r="A24" s="101"/>
      <x:c r="B24" s="27"/>
      <x:c r="C24" s="27"/>
      <x:c r="D24" s="27"/>
      <x:c r="E24" s="48"/>
      <x:c r="F24" s="48"/>
      <x:c r="G24" s="48"/>
      <x:c r="H24" s="48"/>
      <x:c r="I24" s="51" t="str">
        <x:f>IF(F24="","",F24*IF(G24="",'规则参数'!$B$18,G24)+IF(H24="",0,H24))</x:f>
      </x:c>
      <x:c r="J24" s="48"/>
      <x:c r="K24" s="48"/>
      <x:c r="L24" s="48"/>
      <x:c r="M24" s="48"/>
      <x:c r="N24" s="48"/>
      <x:c r="O24" s="48"/>
      <x:c r="P24" s="48"/>
      <x:c r="Q24" s="27"/>
    </x:row>
    <x:row r="25">
      <x:c r="A25" s="101"/>
      <x:c r="B25" s="27"/>
      <x:c r="C25" s="27"/>
      <x:c r="D25" s="27"/>
      <x:c r="E25" s="48"/>
      <x:c r="F25" s="48"/>
      <x:c r="G25" s="48"/>
      <x:c r="H25" s="48"/>
      <x:c r="I25" s="51" t="str">
        <x:f>IF(F25="","",F25*IF(G25="",'规则参数'!$B$18,G25)+IF(H25="",0,H25))</x:f>
      </x:c>
      <x:c r="J25" s="48"/>
      <x:c r="K25" s="48"/>
      <x:c r="L25" s="48"/>
      <x:c r="M25" s="48"/>
      <x:c r="N25" s="48"/>
      <x:c r="O25" s="48"/>
      <x:c r="P25" s="48"/>
      <x:c r="Q25" s="27"/>
    </x:row>
    <x:row r="26">
      <x:c r="A26" s="101"/>
      <x:c r="B26" s="27"/>
      <x:c r="C26" s="27"/>
      <x:c r="D26" s="27"/>
      <x:c r="E26" s="48"/>
      <x:c r="F26" s="48"/>
      <x:c r="G26" s="48"/>
      <x:c r="H26" s="48"/>
      <x:c r="I26" s="51" t="str">
        <x:f>IF(F26="","",F26*IF(G26="",'规则参数'!$B$18,G26)+IF(H26="",0,H26))</x:f>
      </x:c>
      <x:c r="J26" s="48"/>
      <x:c r="K26" s="48"/>
      <x:c r="L26" s="48"/>
      <x:c r="M26" s="48"/>
      <x:c r="N26" s="48"/>
      <x:c r="O26" s="48"/>
      <x:c r="P26" s="48"/>
      <x:c r="Q26" s="27"/>
    </x:row>
    <x:row r="27">
      <x:c r="A27" s="101"/>
      <x:c r="B27" s="27"/>
      <x:c r="C27" s="27"/>
      <x:c r="D27" s="27"/>
      <x:c r="E27" s="48"/>
      <x:c r="F27" s="48"/>
      <x:c r="G27" s="48"/>
      <x:c r="H27" s="48"/>
      <x:c r="I27" s="51" t="str">
        <x:f>IF(F27="","",F27*IF(G27="",'规则参数'!$B$18,G27)+IF(H27="",0,H27))</x:f>
      </x:c>
      <x:c r="J27" s="48"/>
      <x:c r="K27" s="48"/>
      <x:c r="L27" s="48"/>
      <x:c r="M27" s="48"/>
      <x:c r="N27" s="48"/>
      <x:c r="O27" s="48"/>
      <x:c r="P27" s="48"/>
      <x:c r="Q27" s="27"/>
    </x:row>
    <x:row r="28">
      <x:c r="A28" s="101"/>
      <x:c r="B28" s="27"/>
      <x:c r="C28" s="27"/>
      <x:c r="D28" s="27"/>
      <x:c r="E28" s="48"/>
      <x:c r="F28" s="48"/>
      <x:c r="G28" s="48"/>
      <x:c r="H28" s="48"/>
      <x:c r="I28" s="51" t="str">
        <x:f>IF(F28="","",F28*IF(G28="",'规则参数'!$B$18,G28)+IF(H28="",0,H28))</x:f>
      </x:c>
      <x:c r="J28" s="48"/>
      <x:c r="K28" s="48"/>
      <x:c r="L28" s="48"/>
      <x:c r="M28" s="48"/>
      <x:c r="N28" s="48"/>
      <x:c r="O28" s="48"/>
      <x:c r="P28" s="48"/>
      <x:c r="Q28" s="27"/>
    </x:row>
    <x:row r="29">
      <x:c r="A29" s="101"/>
      <x:c r="B29" s="27"/>
      <x:c r="C29" s="27"/>
      <x:c r="D29" s="27"/>
      <x:c r="E29" s="48"/>
      <x:c r="F29" s="48"/>
      <x:c r="G29" s="48"/>
      <x:c r="H29" s="48"/>
      <x:c r="I29" s="51" t="str">
        <x:f>IF(F29="","",F29*IF(G29="",'规则参数'!$B$18,G29)+IF(H29="",0,H29))</x:f>
      </x:c>
      <x:c r="J29" s="48"/>
      <x:c r="K29" s="48"/>
      <x:c r="L29" s="48"/>
      <x:c r="M29" s="48"/>
      <x:c r="N29" s="48"/>
      <x:c r="O29" s="48"/>
      <x:c r="P29" s="48"/>
      <x:c r="Q29" s="27"/>
    </x:row>
    <x:row r="30">
      <x:c r="A30" s="101"/>
      <x:c r="B30" s="27"/>
      <x:c r="C30" s="27"/>
      <x:c r="D30" s="27"/>
      <x:c r="E30" s="48"/>
      <x:c r="F30" s="48"/>
      <x:c r="G30" s="48"/>
      <x:c r="H30" s="48"/>
      <x:c r="I30" s="51" t="str">
        <x:f>IF(F30="","",F30*IF(G30="",'规则参数'!$B$18,G30)+IF(H30="",0,H30))</x:f>
      </x:c>
      <x:c r="J30" s="48"/>
      <x:c r="K30" s="48"/>
      <x:c r="L30" s="48"/>
      <x:c r="M30" s="48"/>
      <x:c r="N30" s="48"/>
      <x:c r="O30" s="48"/>
      <x:c r="P30" s="48"/>
      <x:c r="Q30" s="27"/>
    </x:row>
    <x:row r="31">
      <x:c r="A31" s="101"/>
      <x:c r="B31" s="27"/>
      <x:c r="C31" s="27"/>
      <x:c r="D31" s="27"/>
      <x:c r="E31" s="48"/>
      <x:c r="F31" s="48"/>
      <x:c r="G31" s="48"/>
      <x:c r="H31" s="48"/>
      <x:c r="I31" s="51" t="str">
        <x:f>IF(F31="","",F31*IF(G31="",'规则参数'!$B$18,G31)+IF(H31="",0,H31))</x:f>
      </x:c>
      <x:c r="J31" s="48"/>
      <x:c r="K31" s="48"/>
      <x:c r="L31" s="48"/>
      <x:c r="M31" s="48"/>
      <x:c r="N31" s="48"/>
      <x:c r="O31" s="48"/>
      <x:c r="P31" s="48"/>
      <x:c r="Q31" s="27"/>
    </x:row>
    <x:row r="32">
      <x:c r="A32" s="101"/>
      <x:c r="B32" s="27"/>
      <x:c r="C32" s="27"/>
      <x:c r="D32" s="27"/>
      <x:c r="E32" s="48"/>
      <x:c r="F32" s="48"/>
      <x:c r="G32" s="48"/>
      <x:c r="H32" s="48"/>
      <x:c r="I32" s="51" t="str">
        <x:f>IF(F32="","",F32*IF(G32="",'规则参数'!$B$18,G32)+IF(H32="",0,H32))</x:f>
      </x:c>
      <x:c r="J32" s="48"/>
      <x:c r="K32" s="48"/>
      <x:c r="L32" s="48"/>
      <x:c r="M32" s="48"/>
      <x:c r="N32" s="48"/>
      <x:c r="O32" s="48"/>
      <x:c r="P32" s="48"/>
      <x:c r="Q32" s="27"/>
    </x:row>
    <x:row r="33">
      <x:c r="A33" s="101"/>
      <x:c r="B33" s="27"/>
      <x:c r="C33" s="27"/>
      <x:c r="D33" s="27"/>
      <x:c r="E33" s="48"/>
      <x:c r="F33" s="48"/>
      <x:c r="G33" s="48"/>
      <x:c r="H33" s="48"/>
      <x:c r="I33" s="51" t="str">
        <x:f>IF(F33="","",F33*IF(G33="",'规则参数'!$B$18,G33)+IF(H33="",0,H33))</x:f>
      </x:c>
      <x:c r="J33" s="48"/>
      <x:c r="K33" s="48"/>
      <x:c r="L33" s="48"/>
      <x:c r="M33" s="48"/>
      <x:c r="N33" s="48"/>
      <x:c r="O33" s="48"/>
      <x:c r="P33" s="48"/>
      <x:c r="Q33" s="27"/>
    </x:row>
    <x:row r="34">
      <x:c r="A34" s="101"/>
      <x:c r="B34" s="27"/>
      <x:c r="C34" s="27"/>
      <x:c r="D34" s="27"/>
      <x:c r="E34" s="48"/>
      <x:c r="F34" s="48"/>
      <x:c r="G34" s="48"/>
      <x:c r="H34" s="48"/>
      <x:c r="I34" s="51" t="str">
        <x:f>IF(F34="","",F34*IF(G34="",'规则参数'!$B$18,G34)+IF(H34="",0,H34))</x:f>
      </x:c>
      <x:c r="J34" s="48"/>
      <x:c r="K34" s="48"/>
      <x:c r="L34" s="48"/>
      <x:c r="M34" s="48"/>
      <x:c r="N34" s="48"/>
      <x:c r="O34" s="48"/>
      <x:c r="P34" s="48"/>
      <x:c r="Q34" s="27"/>
    </x:row>
    <x:row r="35">
      <x:c r="A35" s="102"/>
      <x:c r="B35" s="28"/>
      <x:c r="C35" s="28"/>
      <x:c r="D35" s="28"/>
      <x:c r="E35" s="49"/>
      <x:c r="F35" s="49"/>
      <x:c r="G35" s="49"/>
      <x:c r="H35" s="49"/>
      <x:c r="I35" s="52" t="str">
        <x:f>IF(F35="","",F35*IF(G35="",'规则参数'!$B$18,G35)+IF(H35="",0,H35))</x:f>
      </x:c>
      <x:c r="J35" s="49"/>
      <x:c r="K35" s="49"/>
      <x:c r="L35" s="49"/>
      <x:c r="M35" s="49"/>
      <x:c r="N35" s="49"/>
      <x:c r="O35" s="49"/>
      <x:c r="P35" s="49"/>
      <x:c r="Q35" s="28"/>
    </x:row>
  </x:sheetData>
  <x:mergeCells>
    <x:mergeCell ref="A1:Q1"/>
    <x:mergeCell ref="A2:Q2"/>
  </x:mergeCells>
  <x:dataValidations count="2">
    <x:dataValidation type="list" sqref="C4:C35">
      <x:formula1>"周末,国家法定节假日,周末+国家法定节假日"</x:formula1>
    </x:dataValidation>
    <x:dataValidation type="list" sqref="D4:D35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c2ee508e64464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46.66999816894531" hidden="0" customWidth="1"/>
    <x:col min="3" max="3" width="46.66999816894531" hidden="0" customWidth="1"/>
    <x:col min="4" max="4" width="42.220001220703125" hidden="0" customWidth="1"/>
  </x:cols>
  <x:sheetData>
    <x:row r="1" ht="30" customHeight="1">
      <x:c r="A1" s="4" t="str">
        <x:v>口径说明、决策边界与升级要求</x:v>
      </x:c>
      <x:c r="B1" s="4"/>
      <x:c r="C1" s="4"/>
      <x:c r="D1" s="4"/>
    </x:row>
    <x:row r="3" ht="34.5" customHeight="1">
      <x:c r="A3" s="16" t="str">
        <x:v>主题</x:v>
      </x:c>
      <x:c r="B3" s="17" t="str">
        <x:v>本版口径</x:v>
      </x:c>
      <x:c r="C3" s="17" t="str">
        <x:v>正确使用方式</x:v>
      </x:c>
      <x:c r="D3" s="18" t="str">
        <x:v>风险/下一步</x:v>
      </x:c>
    </x:row>
    <x:row r="4" ht="36" customHeight="1">
      <x:c r="A4" s="38" t="str">
        <x:v>引流产出倍数</x:v>
      </x:c>
      <x:c r="B4" s="38" t="str">
        <x:v>成交金额÷实际人工成本</x:v>
      </x:c>
      <x:c r="C4" s="38" t="str">
        <x:v>回答1元工资换回多少成交额</x:v>
      </x:c>
      <x:c r="D4" s="38" t="str">
        <x:v>只反映工资与成交额的关系</x:v>
      </x:c>
    </x:row>
    <x:row r="5" ht="36" customHeight="1">
      <x:c r="A5" s="39" t="str">
        <x:v>双成本</x:v>
      </x:c>
      <x:c r="B5" s="39" t="str">
        <x:v>标准成本=工时×10；实际成本按实发成本</x:v>
      </x:c>
      <x:c r="C5" s="39" t="str">
        <x:v>横向排名用标准成本，经营判断用实际成本</x:v>
      </x:c>
      <x:c r="D5" s="39" t="str">
        <x:v>节假日12-15元、提成和奖励必须进入实际成本</x:v>
      </x:c>
    </x:row>
    <x:row r="6" ht="36" customHeight="1">
      <x:c r="A6" s="39" t="str">
        <x:v>引流周期</x:v>
      </x:c>
      <x:c r="B6" s="39" t="str">
        <x:v>每周六、周日及国家法定节假日</x:v>
      </x:c>
      <x:c r="C6" s="39" t="str">
        <x:v>工时、成本、成交额必须只取这些日期</x:v>
      </x:c>
      <x:c r="D6" s="39" t="str">
        <x:v>混入普通工作日会扭曲人效</x:v>
      </x:c>
    </x:row>
    <x:row r="7" ht="36" customHeight="1">
      <x:c r="A7" s="39" t="str">
        <x:v>复位周期</x:v>
      </x:c>
      <x:c r="B7" s="39" t="str">
        <x:v>周六+周日14:00-20:00，共12小时</x:v>
      </x:c>
      <x:c r="C7" s="39" t="str">
        <x:v>人数使用两天单日平均；波次为两天合计</x:v>
      </x:c>
      <x:c r="D7" s="39" t="str">
        <x:v>原版只除6小时，会把实际人效放大一倍</x:v>
      </x:c>
    </x:row>
    <x:row r="8" ht="36" customHeight="1">
      <x:c r="A8" s="39" t="str">
        <x:v>房间波次</x:v>
      </x:c>
      <x:c r="B8" s="39" t="str">
        <x:v>一个唯一账单ID=一个房间波次</x:v>
      </x:c>
      <x:c r="C8" s="39" t="str">
        <x:v>禁止用玩家人数代替房间数</x:v>
      </x:c>
      <x:c r="D8" s="39" t="str">
        <x:v>重复账单ID必须先去重</x:v>
      </x:c>
    </x:row>
    <x:row r="9" ht="36" customHeight="1">
      <x:c r="A9" s="39" t="str">
        <x:v>实际波次/人/时</x:v>
      </x:c>
      <x:c r="B9" s="39" t="str">
        <x:v>两天高峰唯一账单数÷平均复位人数÷12小时</x:v>
      </x:c>
      <x:c r="C9" s="39" t="str">
        <x:v>用于判断真实高峰承接压力</x:v>
      </x:c>
      <x:c r="D9" s="39" t="str">
        <x:v>人数为0但波次&gt;0属于数据异常</x:v>
      </x:c>
    </x:row>
    <x:row r="10" ht="36" customHeight="1">
      <x:c r="A10" s="39" t="str">
        <x:v>理论最大波次</x:v>
      </x:c>
      <x:c r="B10" s="39" t="str">
        <x:v>主题数×12小时×60÷40分钟</x:v>
      </x:c>
      <x:c r="C10" s="39" t="str">
        <x:v>只作为利用率上限和结构风险参考</x:v>
      </x:c>
      <x:c r="D10" s="39" t="str">
        <x:v>不等于真实应该完成的目标</x:v>
      </x:c>
    </x:row>
    <x:row r="11" ht="36" customHeight="1">
      <x:c r="A11" s="39" t="str">
        <x:v>复位评价</x:v>
      </x:c>
      <x:c r="B11" s="39" t="str">
        <x:v>不使用门店营收ROI</x:v>
      </x:c>
      <x:c r="C11" s="39" t="str">
        <x:v>看实际承接、主题负荷、利用率和单波次成本</x:v>
      </x:c>
      <x:c r="D11" s="39" t="str">
        <x:v>创建人是否为实际接待负责人仍待业务确认</x:v>
      </x:c>
    </x:row>
    <x:row r="12" ht="36" customHeight="1">
      <x:c r="A12" s="39" t="str">
        <x:v>缺失值</x:v>
      </x:c>
      <x:c r="B12" s="39" t="str">
        <x:v>空白=缺失；0=业务确认确实为0</x:v>
      </x:c>
      <x:c r="C12" s="39" t="str">
        <x:v>先补数再评价，CHECK不等于经营差</x:v>
      </x:c>
      <x:c r="D12" s="39" t="str">
        <x:v>原表到店、办卡占位0已改为空白</x:v>
      </x:c>
    </x:row>
    <x:row r="13" ht="36" customHeight="1">
      <x:c r="A13" s="39" t="str">
        <x:v>成交额范围</x:v>
      </x:c>
      <x:c r="B13" s="39" t="str">
        <x:v>若引流成交额&gt;门店总营收，标记口径确认</x:v>
      </x:c>
      <x:c r="C13" s="39" t="str">
        <x:v>可能含充值、跨期或跨门店归属</x:v>
      </x:c>
      <x:c r="D13" s="39" t="str">
        <x:v>不自动删数，也不自动判错</x:v>
      </x:c>
    </x:row>
    <x:row r="14" ht="36" customHeight="1">
      <x:c r="A14" s="39" t="str">
        <x:v>老板动作顺序</x:v>
      </x:c>
      <x:c r="B14" s="39" t="str">
        <x:v>补数据→减低峰工时→减低效工时→调岗位→连续3周验证后替换</x:v>
      </x:c>
      <x:c r="C14" s="39" t="str">
        <x:v>禁止单周直接淘汰</x:v>
      </x:c>
      <x:c r="D14" s="39" t="str">
        <x:v>至少连续3周看趋势</x:v>
      </x:c>
    </x:row>
    <x:row r="15" ht="36" customHeight="1">
      <x:c r="A15" s="39" t="str">
        <x:v>当前模型层级</x:v>
      </x:c>
      <x:c r="B15" s="39" t="str">
        <x:v>门店级、岗位级</x:v>
      </x:c>
      <x:c r="C15" s="39" t="str">
        <x:v>用于发现引流效率和复位高峰配置问题</x:v>
      </x:c>
      <x:c r="D15" s="39" t="str">
        <x:v>不能回答具体哪位兼职应增排/减排</x:v>
      </x:c>
    </x:row>
    <x:row r="16" ht="36" customHeight="1">
      <x:c r="A16" s="39" t="str">
        <x:v>个人级升级所需</x:v>
      </x:c>
      <x:c r="B16" s="39" t="str">
        <x:v>人员ID、姓名、每日工时、岗位、实际成本、成交归属、唯一账单创建归属</x:v>
      </x:c>
      <x:c r="C16" s="39" t="str">
        <x:v>支持暑假工主岗位+副岗位和两周人员变化</x:v>
      </x:c>
      <x:c r="D16" s="39" t="str">
        <x:v>同名人员必须用人员ID去重</x:v>
      </x:c>
    </x:row>
    <x:row r="17" ht="36" customHeight="1">
      <x:c r="A17" s="39" t="str">
        <x:v>门店超配升级所需</x:v>
      </x:c>
      <x:c r="B17" s="39" t="str">
        <x:v>全职实际高峰覆盖工时、兼职实际工时、建议支持工时</x:v>
      </x:c>
      <x:c r="C17" s="39" t="str">
        <x:v>超配工时=实际兼职工时-建议兼职工时</x:v>
      </x:c>
      <x:c r="D17" s="39" t="str">
        <x:v>当前源表缺少全职覆盖和复位工时，不能可靠输出超配率</x:v>
      </x:c>
    </x:row>
    <x:row r="18" ht="36" customHeight="1">
      <x:c r="A18" s="40" t="str">
        <x:v>数据来源</x:v>
      </x:c>
      <x:c r="B18" s="40" t="str">
        <x:v>老板确认版Excel；门店周报；唯一账单ID统计</x:v>
      </x:c>
      <x:c r="C18" s="40" t="str">
        <x:v>所有输入均集中在“门店周数据录入”</x:v>
      </x:c>
      <x:c r="D18" s="40" t="str">
        <x:v>现有汇总值与飞书周末日明细不一致，使用前必须确认日期过滤</x:v>
      </x:c>
    </x:row>
  </x:sheetData>
  <x:mergeCells>
    <x:mergeCell ref="A1:D1"/>
  </x:mergeCells>
  <x:pageMargins left="0.7" right="0.7" top="0.75" bottom="0.75" header="0.3" footer="0.3"/>
</x:worksheet>
</file>