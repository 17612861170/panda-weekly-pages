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751e0a351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核心数据" sheetId="1" r:id="R6e93782a39e54bc4"/>
    <x:sheet xmlns:r="http://schemas.openxmlformats.org/officeDocument/2006/relationships" name="品牌区域截图锁定" sheetId="2" r:id="R78e9e5dfc1244448"/>
    <x:sheet xmlns:r="http://schemas.openxmlformats.org/officeDocument/2006/relationships" name="员工销售金额排名" sheetId="3" r:id="R9f6f93a8f55d4460"/>
    <x:sheet xmlns:r="http://schemas.openxmlformats.org/officeDocument/2006/relationships" name="员工办卡率排名" sheetId="4" r:id="Rfba35ddefe5a4ce3"/>
    <x:sheet xmlns:r="http://schemas.openxmlformats.org/officeDocument/2006/relationships" name="员工续卡排名" sheetId="5" r:id="Rbb7c65ca7adb48e3"/>
    <x:sheet xmlns:r="http://schemas.openxmlformats.org/officeDocument/2006/relationships" name="填写说明" sheetId="6" r:id="R0fb7331e7bee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¥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8A4B00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7E6"/>
      </x:patternFill>
    </x:fill>
  </x:fills>
  <x:borders count="10">
    <x:border/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  <x:right style="thin">
        <x:color rgb="FFD9DEE5"/>
      </x:right>
      <x:top style="thin">
        <x:color rgb="FFD9DEE5"/>
      </x:top>
    </x:border>
    <x:border>
      <x:left style="thin">
        <x:color rgb="FFD9DEE5"/>
      </x:left>
      <x:top style="thin">
        <x:color rgb="FFD9DEE5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b98aa32a54f1b" /><Relationship Type="http://schemas.openxmlformats.org/officeDocument/2006/relationships/theme" Target="/xl/theme/theme1.xml" Id="R53da8533b82d4ded" /><Relationship Type="http://schemas.openxmlformats.org/officeDocument/2006/relationships/sharedStrings" Target="/xl/sharedStrings.xml" Id="R1727b056cb0a4d58" /><Relationship Type="http://schemas.openxmlformats.org/officeDocument/2006/relationships/worksheet" Target="/xl/worksheets/sheet1.xml" Id="R6e93782a39e54bc4" /><Relationship Type="http://schemas.openxmlformats.org/officeDocument/2006/relationships/worksheet" Target="/xl/worksheets/sheet2.xml" Id="R78e9e5dfc1244448" /><Relationship Type="http://schemas.openxmlformats.org/officeDocument/2006/relationships/worksheet" Target="/xl/worksheets/sheet3.xml" Id="R9f6f93a8f55d4460" /><Relationship Type="http://schemas.openxmlformats.org/officeDocument/2006/relationships/worksheet" Target="/xl/worksheets/sheet4.xml" Id="Rfba35ddefe5a4ce3" /><Relationship Type="http://schemas.openxmlformats.org/officeDocument/2006/relationships/worksheet" Target="/xl/worksheets/sheet5.xml" Id="Rbb7c65ca7adb48e3" /><Relationship Type="http://schemas.openxmlformats.org/officeDocument/2006/relationships/worksheet" Target="/xl/worksheets/sheet6.xml" Id="R0fb7331e7bee4bec" /></Relationships>
</file>

<file path=xl/tables/table1.xml><?xml version="1.0" encoding="utf-8"?>
<x:table xmlns:x="http://schemas.openxmlformats.org/spreadsheetml/2006/main" id="1" name="StoreCoreData" displayName="StoreCoreData" ref="A1:AD22" headerRowCount="1" totalsRowCount="0" totalsRowShown="0">
  <x:tableColumns count="30">
    <x:tableColumn id="1" name="区域"/>
    <x:tableColumn id="2" name="门店"/>
    <x:tableColumn id="3" name="店型"/>
    <x:tableColumn id="4" name="主题数"/>
    <x:tableColumn id="5" name="总营收"/>
    <x:tableColumn id="6" name="目标"/>
    <x:tableColumn id="7" name="完成率"/>
    <x:tableColumn id="8" name="续卡金额"/>
    <x:tableColumn id="9" name="续卡占比"/>
    <x:tableColumn id="10" name="新签营收"/>
    <x:tableColumn id="11" name="新签办卡率"/>
    <x:tableColumn id="12" name="新签卡数"/>
    <x:tableColumn id="13" name="新签小卡数"/>
    <x:tableColumn id="14" name="新签中卡数"/>
    <x:tableColumn id="15" name="新签大卡数"/>
    <x:tableColumn id="16" name="新签小卡率"/>
    <x:tableColumn id="17" name="新签中卡率"/>
    <x:tableColumn id="18" name="新签大卡率"/>
    <x:tableColumn id="19" name="新签中大卡率"/>
    <x:tableColumn id="20" name="续卡数"/>
    <x:tableColumn id="21" name="续小卡数"/>
    <x:tableColumn id="22" name="续中卡数"/>
    <x:tableColumn id="23" name="续大卡数"/>
    <x:tableColumn id="24" name="大卡率占比"/>
    <x:tableColumn id="25" name="总引流金额"/>
    <x:tableColumn id="26" name="总引流占比"/>
    <x:tableColumn id="27" name="扫楼金额"/>
    <x:tableColumn id="28" name="扫楼占比"/>
    <x:tableColumn id="29" name="未达标指标数"/>
    <x:tableColumn id="30" name="短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1:L67" headerRowCount="1" totalsRowCount="0" totalsRowShown="0">
  <x:tableColumns count="12">
    <x:tableColumn id="1" name="本周排名"/>
    <x:tableColumn id="2" name="区域"/>
    <x:tableColumn id="3" name="门店"/>
    <x:tableColumn id="4" name="员工"/>
    <x:tableColumn id="5" name="本周总金额"/>
    <x:tableColumn id="6" name="上周总金额"/>
    <x:tableColumn id="7" name="金额增减"/>
    <x:tableColumn id="8" name="完成率"/>
    <x:tableColumn id="9" name="新签办卡率"/>
    <x:tableColumn id="10" name="新签卡数"/>
    <x:tableColumn id="11" name="新签金额"/>
    <x:tableColumn id="12" name="续卡金额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1:L67" headerRowCount="1" totalsRowCount="0" totalsRowShown="0">
  <x:tableColumns count="12">
    <x:tableColumn id="1" name="本周排名"/>
    <x:tableColumn id="2" name="区域"/>
    <x:tableColumn id="3" name="门店"/>
    <x:tableColumn id="4" name="员工"/>
    <x:tableColumn id="5" name="本周总金额"/>
    <x:tableColumn id="6" name="上周总金额"/>
    <x:tableColumn id="7" name="金额增减"/>
    <x:tableColumn id="8" name="完成率"/>
    <x:tableColumn id="9" name="新签办卡率"/>
    <x:tableColumn id="10" name="新签卡数"/>
    <x:tableColumn id="11" name="新签金额"/>
    <x:tableColumn id="12" name="续卡金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" displayName="Table" ref="A1:L67" headerRowCount="1" totalsRowCount="0" totalsRowShown="0">
  <x:tableColumns count="12">
    <x:tableColumn id="1" name="本周排名"/>
    <x:tableColumn id="2" name="区域"/>
    <x:tableColumn id="3" name="门店"/>
    <x:tableColumn id="4" name="员工"/>
    <x:tableColumn id="5" name="本周总金额"/>
    <x:tableColumn id="6" name="上周总金额"/>
    <x:tableColumn id="7" name="金额增减"/>
    <x:tableColumn id="8" name="完成率"/>
    <x:tableColumn id="9" name="新签办卡率"/>
    <x:tableColumn id="10" name="新签卡数"/>
    <x:tableColumn id="11" name="新签金额"/>
    <x:tableColumn id="12" name="续卡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bd5236cf3447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39b48d39448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3fa895e5f543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805c7b3c6742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3" hidden="0" customWidth="1"/>
    <x:col min="4" max="4" width="9" hidden="0" customWidth="1"/>
    <x:col min="5" max="5" width="14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4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3" hidden="0" customWidth="1"/>
    <x:col min="20" max="20" width="9" hidden="0" customWidth="1"/>
    <x:col min="21" max="21" width="10" hidden="0" customWidth="1"/>
    <x:col min="22" max="22" width="10" hidden="0" customWidth="1"/>
    <x:col min="23" max="23" width="10" hidden="0" customWidth="1"/>
    <x:col min="24" max="24" width="12" hidden="0" customWidth="1"/>
    <x:col min="25" max="25" width="14" hidden="0" customWidth="1"/>
    <x:col min="26" max="26" width="12" hidden="0" customWidth="1"/>
    <x:col min="27" max="27" width="14" hidden="0" customWidth="1"/>
    <x:col min="28" max="28" width="12" hidden="0" customWidth="1"/>
    <x:col min="29" max="29" width="12" hidden="0" customWidth="1"/>
    <x:col min="30" max="30" width="34" hidden="0" customWidth="1"/>
  </x:cols>
  <x:sheetData>
    <x:row r="1" ht="28" customHeight="1">
      <x:c r="A1" s="11" t="str">
        <x:v>区域</x:v>
      </x:c>
      <x:c r="B1" s="12" t="str">
        <x:v>门店</x:v>
      </x:c>
      <x:c r="C1" s="12" t="str">
        <x:v>店型</x:v>
      </x:c>
      <x:c r="D1" s="12" t="str">
        <x:v>主题数</x:v>
      </x:c>
      <x:c r="E1" s="12" t="str">
        <x:v>总营收</x:v>
      </x:c>
      <x:c r="F1" s="12" t="str">
        <x:v>目标</x:v>
      </x:c>
      <x:c r="G1" s="12" t="str">
        <x:v>完成率</x:v>
      </x:c>
      <x:c r="H1" s="12" t="str">
        <x:v>续卡金额</x:v>
      </x:c>
      <x:c r="I1" s="12" t="str">
        <x:v>续卡占比</x:v>
      </x:c>
      <x:c r="J1" s="12" t="str">
        <x:v>新签营收</x:v>
      </x:c>
      <x:c r="K1" s="12" t="str">
        <x:v>新签办卡率</x:v>
      </x:c>
      <x:c r="L1" s="12" t="str">
        <x:v>新签卡数</x:v>
      </x:c>
      <x:c r="M1" s="12" t="str">
        <x:v>新签小卡数</x:v>
      </x:c>
      <x:c r="N1" s="12" t="str">
        <x:v>新签中卡数</x:v>
      </x:c>
      <x:c r="O1" s="12" t="str">
        <x:v>新签大卡数</x:v>
      </x:c>
      <x:c r="P1" s="12" t="str">
        <x:v>新签小卡率</x:v>
      </x:c>
      <x:c r="Q1" s="12" t="str">
        <x:v>新签中卡率</x:v>
      </x:c>
      <x:c r="R1" s="12" t="str">
        <x:v>新签大卡率</x:v>
      </x:c>
      <x:c r="S1" s="12" t="str">
        <x:v>新签中大卡率</x:v>
      </x:c>
      <x:c r="T1" s="12" t="str">
        <x:v>续卡数</x:v>
      </x:c>
      <x:c r="U1" s="12" t="str">
        <x:v>续小卡数</x:v>
      </x:c>
      <x:c r="V1" s="12" t="str">
        <x:v>续中卡数</x:v>
      </x:c>
      <x:c r="W1" s="12" t="str">
        <x:v>续大卡数</x:v>
      </x:c>
      <x:c r="X1" s="12" t="str">
        <x:v>大卡率占比</x:v>
      </x:c>
      <x:c r="Y1" s="12" t="str">
        <x:v>总引流金额</x:v>
      </x:c>
      <x:c r="Z1" s="12" t="str">
        <x:v>总引流占比</x:v>
      </x:c>
      <x:c r="AA1" s="12" t="str">
        <x:v>扫楼金额</x:v>
      </x:c>
      <x:c r="AB1" s="12" t="str">
        <x:v>扫楼占比</x:v>
      </x:c>
      <x:c r="AC1" s="12" t="str">
        <x:v>未达标指标数</x:v>
      </x:c>
      <x:c r="AD1" s="13" t="str">
        <x:v>短板</x:v>
      </x:c>
    </x:row>
    <x:row r="2">
      <x:c r="A2" s="14" t="str">
        <x:v>1区</x:v>
      </x:c>
      <x:c r="B2" s="15" t="str">
        <x:v>商丘万达</x:v>
      </x:c>
      <x:c r="C2" s="15" t="str">
        <x:v>C类</x:v>
      </x:c>
      <x:c r="D2" s="15" t="n">
        <x:v>13</x:v>
      </x:c>
      <x:c r="E2" s="16" t="n">
        <x:v>20040.15</x:v>
      </x:c>
      <x:c r="F2" s="16" t="n">
        <x:v>21126</x:v>
      </x:c>
      <x:c r="G2" s="17" t="n">
        <x:f>IFERROR(E2/F2,0)</x:f>
        <x:v>0.9486012496449873</x:v>
      </x:c>
      <x:c r="H2" s="16" t="n">
        <x:v>8429</x:v>
      </x:c>
      <x:c r="I2" s="17" t="n">
        <x:f>IFERROR(H2/E2,0)</x:f>
        <x:v>0.4206056341893648</x:v>
      </x:c>
      <x:c r="J2" s="16" t="n">
        <x:f>E2-H2</x:f>
        <x:v>11611.150000000001</x:v>
      </x:c>
      <x:c r="K2" s="17" t="n">
        <x:v>0.7059000000000001</x:v>
      </x:c>
      <x:c r="L2" s="15" t="n">
        <x:v>26</x:v>
      </x:c>
      <x:c r="M2" s="15" t="n">
        <x:v>6</x:v>
      </x:c>
      <x:c r="N2" s="15" t="n">
        <x:v>17</x:v>
      </x:c>
      <x:c r="O2" s="15" t="n">
        <x:v>3</x:v>
      </x:c>
      <x:c r="P2" s="17" t="n">
        <x:f>IFERROR(M2/L2,0)</x:f>
        <x:v>0.23076923076923078</x:v>
      </x:c>
      <x:c r="Q2" s="17" t="n">
        <x:f>IFERROR(N2/L2,0)</x:f>
        <x:v>0.6538461538461539</x:v>
      </x:c>
      <x:c r="R2" s="17" t="n">
        <x:f>IFERROR(O2/L2,0)</x:f>
        <x:v>0.11538461538461539</x:v>
      </x:c>
      <x:c r="S2" s="17" t="n">
        <x:f>Q2+R2</x:f>
        <x:v>0.7692307692307693</x:v>
      </x:c>
      <x:c r="T2" s="15" t="n">
        <x:v>22</x:v>
      </x:c>
      <x:c r="U2" s="15" t="n">
        <x:v>2</x:v>
      </x:c>
      <x:c r="V2" s="15" t="n">
        <x:v>13</x:v>
      </x:c>
      <x:c r="W2" s="15" t="n">
        <x:v>7</x:v>
      </x:c>
      <x:c r="X2" s="17" t="n">
        <x:f>IFERROR((N2+O2+V2+W2)/(L2+T2),0)</x:f>
        <x:v>0.8333333333333334</x:v>
      </x:c>
      <x:c r="Y2" s="16" t="n">
        <x:v>10860.15</x:v>
      </x:c>
      <x:c r="Z2" s="17" t="n">
        <x:f>IFERROR(Y2/E2,0)</x:f>
        <x:v>0.5419195964102065</x:v>
      </x:c>
      <x:c r="AA2" s="16" t="n">
        <x:v>2996</x:v>
      </x:c>
      <x:c r="AB2" s="17" t="n">
        <x:f>IFERROR(AA2/E2,0)</x:f>
        <x:v>0.1494998789929217</x:v>
      </x:c>
      <x:c r="AC2" s="15" t="n">
        <x:v>2</x:v>
      </x:c>
      <x:c r="AD2" s="18" t="str">
        <x:v>完成率未过线；扫楼占比未过线</x:v>
      </x:c>
    </x:row>
    <x:row r="3">
      <x:c r="A3" s="14" t="str">
        <x:v>1区</x:v>
      </x:c>
      <x:c r="B3" s="15" t="str">
        <x:v>信阳万达</x:v>
      </x:c>
      <x:c r="C3" s="15" t="str">
        <x:v>C类</x:v>
      </x:c>
      <x:c r="D3" s="15" t="n">
        <x:v>9</x:v>
      </x:c>
      <x:c r="E3" s="16" t="n">
        <x:v>14337.6</x:v>
      </x:c>
      <x:c r="F3" s="16" t="n">
        <x:v>18060</x:v>
      </x:c>
      <x:c r="G3" s="17" t="n">
        <x:f>IFERROR(E3/F3,0)</x:f>
        <x:v>0.7938870431893688</x:v>
      </x:c>
      <x:c r="H3" s="16" t="n">
        <x:v>5393.05</x:v>
      </x:c>
      <x:c r="I3" s="17" t="n">
        <x:f>IFERROR(H3/E3,0)</x:f>
        <x:v>0.37614733288695457</x:v>
      </x:c>
      <x:c r="J3" s="16" t="n">
        <x:f>E3-H3</x:f>
        <x:v>8944.55</x:v>
      </x:c>
      <x:c r="K3" s="17" t="n">
        <x:v>0.8298000000000001</x:v>
      </x:c>
      <x:c r="L3" s="15" t="n">
        <x:v>24</x:v>
      </x:c>
      <x:c r="M3" s="15" t="n">
        <x:v>8</x:v>
      </x:c>
      <x:c r="N3" s="15" t="n">
        <x:v>15</x:v>
      </x:c>
      <x:c r="O3" s="15" t="n">
        <x:v>1</x:v>
      </x:c>
      <x:c r="P3" s="17" t="n">
        <x:f>IFERROR(M3/L3,0)</x:f>
        <x:v>0.3333333333333333</x:v>
      </x:c>
      <x:c r="Q3" s="17" t="n">
        <x:f>IFERROR(N3/L3,0)</x:f>
        <x:v>0.625</x:v>
      </x:c>
      <x:c r="R3" s="17" t="n">
        <x:f>IFERROR(O3/L3,0)</x:f>
        <x:v>0.041666666666666664</x:v>
      </x:c>
      <x:c r="S3" s="17" t="n">
        <x:f>Q3+R3</x:f>
        <x:v>0.6666666666666666</x:v>
      </x:c>
      <x:c r="T3" s="15" t="n">
        <x:v>15</x:v>
      </x:c>
      <x:c r="U3" s="15" t="n">
        <x:v>1</x:v>
      </x:c>
      <x:c r="V3" s="15" t="n">
        <x:v>13</x:v>
      </x:c>
      <x:c r="W3" s="15" t="n">
        <x:v>1</x:v>
      </x:c>
      <x:c r="X3" s="17" t="n">
        <x:f>IFERROR((N3+O3+V3+W3)/(L3+T3),0)</x:f>
        <x:v>0.7692307692307693</x:v>
      </x:c>
      <x:c r="Y3" s="16" t="n">
        <x:v>2644.1</x:v>
      </x:c>
      <x:c r="Z3" s="17" t="n">
        <x:f>IFERROR(Y3/E3,0)</x:f>
        <x:v>0.18441719674143509</x:v>
      </x:c>
      <x:c r="AA3" s="16" t="n">
        <x:v>1420.05</x:v>
      </x:c>
      <x:c r="AB3" s="17" t="n">
        <x:f>IFERROR(AA3/E3,0)</x:f>
        <x:v>0.09904377301640441</x:v>
      </x:c>
      <x:c r="AC3" s="15" t="n">
        <x:v>3</x:v>
      </x:c>
      <x:c r="AD3" s="18" t="str">
        <x:v>完成率未过线；总引流占比未过线；扫楼占比未过线</x:v>
      </x:c>
    </x:row>
    <x:row r="4">
      <x:c r="A4" s="14" t="str">
        <x:v>1区</x:v>
      </x:c>
      <x:c r="B4" s="15" t="str">
        <x:v>襄阳高新万达</x:v>
      </x:c>
      <x:c r="C4" s="15" t="str">
        <x:v>A类</x:v>
      </x:c>
      <x:c r="D4" s="15" t="n">
        <x:v>10</x:v>
      </x:c>
      <x:c r="E4" s="16" t="n">
        <x:v>32822.2</x:v>
      </x:c>
      <x:c r="F4" s="16" t="n">
        <x:v>35016</x:v>
      </x:c>
      <x:c r="G4" s="17" t="n">
        <x:f>IFERROR(E4/F4,0)</x:f>
        <x:v>0.9373486406214301</x:v>
      </x:c>
      <x:c r="H4" s="16" t="n">
        <x:v>2733</x:v>
      </x:c>
      <x:c r="I4" s="17" t="n">
        <x:f>IFERROR(H4/E4,0)</x:f>
        <x:v>0.08326681331537801</x:v>
      </x:c>
      <x:c r="J4" s="16" t="n">
        <x:f>E4-H4</x:f>
        <x:v>30089.199999999997</x:v>
      </x:c>
      <x:c r="K4" s="17" t="n">
        <x:v>0.6175999999999999</x:v>
      </x:c>
      <x:c r="L4" s="15" t="n">
        <x:v>76</x:v>
      </x:c>
      <x:c r="M4" s="15" t="n">
        <x:v>53</x:v>
      </x:c>
      <x:c r="N4" s="15" t="n">
        <x:v>20</x:v>
      </x:c>
      <x:c r="O4" s="15" t="n">
        <x:v>3</x:v>
      </x:c>
      <x:c r="P4" s="17" t="n">
        <x:f>IFERROR(M4/L4,0)</x:f>
        <x:v>0.6973684210526315</x:v>
      </x:c>
      <x:c r="Q4" s="17" t="n">
        <x:f>IFERROR(N4/L4,0)</x:f>
        <x:v>0.2631578947368421</x:v>
      </x:c>
      <x:c r="R4" s="17" t="n">
        <x:f>IFERROR(O4/L4,0)</x:f>
        <x:v>0.039473684210526314</x:v>
      </x:c>
      <x:c r="S4" s="17" t="n">
        <x:f>Q4+R4</x:f>
        <x:v>0.3026315789473684</x:v>
      </x:c>
      <x:c r="T4" s="15" t="n">
        <x:v>8</x:v>
      </x:c>
      <x:c r="U4" s="15" t="n">
        <x:v>4</x:v>
      </x:c>
      <x:c r="V4" s="15" t="n">
        <x:v>3</x:v>
      </x:c>
      <x:c r="W4" s="15" t="n">
        <x:v>1</x:v>
      </x:c>
      <x:c r="X4" s="17" t="n">
        <x:f>IFERROR((N4+O4+V4+W4)/(L4+T4),0)</x:f>
        <x:v>0.32142857142857145</x:v>
      </x:c>
      <x:c r="Y4" s="16" t="n">
        <x:v>7455</x:v>
      </x:c>
      <x:c r="Z4" s="17" t="n">
        <x:f>IFERROR(Y4/E4,0)</x:f>
        <x:v>0.22713285520166232</x:v>
      </x:c>
      <x:c r="AA4" s="16" t="n">
        <x:v>5341</x:v>
      </x:c>
      <x:c r="AB4" s="17" t="n">
        <x:f>IFERROR(AA4/E4,0)</x:f>
        <x:v>0.16272522865621442</x:v>
      </x:c>
      <x:c r="AC4" s="15" t="n">
        <x:v>5</x:v>
      </x:c>
      <x:c r="AD4" s="18" t="str">
        <x:v>完成率未过线；新签中大卡率未过线；续卡占比未过线；总引流占比未过线；整体大卡率未过线</x:v>
      </x:c>
    </x:row>
    <x:row r="5">
      <x:c r="A5" s="14" t="str">
        <x:v>1区</x:v>
      </x:c>
      <x:c r="B5" s="15" t="str">
        <x:v>南阳吾悦</x:v>
      </x:c>
      <x:c r="C5" s="15" t="str">
        <x:v>A类</x:v>
      </x:c>
      <x:c r="D5" s="15" t="n">
        <x:v>14</x:v>
      </x:c>
      <x:c r="E5" s="16" t="n">
        <x:v>22034</x:v>
      </x:c>
      <x:c r="F5" s="16" t="n">
        <x:v>35904</x:v>
      </x:c>
      <x:c r="G5" s="17" t="n">
        <x:f>IFERROR(E5/F5,0)</x:f>
        <x:v>0.6136920677361853</x:v>
      </x:c>
      <x:c r="H5" s="16" t="n">
        <x:v>2100</x:v>
      </x:c>
      <x:c r="I5" s="17" t="n">
        <x:f>IFERROR(H5/E5,0)</x:f>
        <x:v>0.09530725242806572</x:v>
      </x:c>
      <x:c r="J5" s="16" t="n">
        <x:f>E5-H5</x:f>
        <x:v>19934</x:v>
      </x:c>
      <x:c r="K5" s="17" t="n">
        <x:v>0.7042</x:v>
      </x:c>
      <x:c r="L5" s="15" t="n">
        <x:v>45</x:v>
      </x:c>
      <x:c r="M5" s="15" t="n">
        <x:v>22</x:v>
      </x:c>
      <x:c r="N5" s="15" t="n">
        <x:v>21</x:v>
      </x:c>
      <x:c r="O5" s="15" t="n">
        <x:v>2</x:v>
      </x:c>
      <x:c r="P5" s="17" t="n">
        <x:f>IFERROR(M5/L5,0)</x:f>
        <x:v>0.4888888888888889</x:v>
      </x:c>
      <x:c r="Q5" s="17" t="n">
        <x:f>IFERROR(N5/L5,0)</x:f>
        <x:v>0.4666666666666667</x:v>
      </x:c>
      <x:c r="R5" s="17" t="n">
        <x:f>IFERROR(O5/L5,0)</x:f>
        <x:v>0.044444444444444446</x:v>
      </x:c>
      <x:c r="S5" s="17" t="n">
        <x:f>Q5+R5</x:f>
        <x:v>0.5111111111111111</x:v>
      </x:c>
      <x:c r="T5" s="15" t="n">
        <x:v>5</x:v>
      </x:c>
      <x:c r="U5" s="15" t="n">
        <x:v>1</x:v>
      </x:c>
      <x:c r="V5" s="15" t="n">
        <x:v>3</x:v>
      </x:c>
      <x:c r="W5" s="15" t="n">
        <x:v>1</x:v>
      </x:c>
      <x:c r="X5" s="17" t="n">
        <x:f>IFERROR((N5+O5+V5+W5)/(L5+T5),0)</x:f>
        <x:v>0.54</x:v>
      </x:c>
      <x:c r="Y5" s="16" t="n">
        <x:v>7976</x:v>
      </x:c>
      <x:c r="Z5" s="17" t="n">
        <x:f>IFERROR(Y5/E5,0)</x:f>
        <x:v>0.3619860216029772</x:v>
      </x:c>
      <x:c r="AA5" s="16" t="n">
        <x:v>1198</x:v>
      </x:c>
      <x:c r="AB5" s="17" t="n">
        <x:f>IFERROR(AA5/E5,0)</x:f>
        <x:v>0.054370518289915584</x:v>
      </x:c>
      <x:c r="AC5" s="15" t="n">
        <x:v>5</x:v>
      </x:c>
      <x:c r="AD5" s="18" t="str">
        <x:v>完成率未过线；新签中大卡率未过线；续卡占比未过线；扫楼占比未过线；整体大卡率未过线</x:v>
      </x:c>
    </x:row>
    <x:row r="6">
      <x:c r="A6" s="14" t="str">
        <x:v>1区</x:v>
      </x:c>
      <x:c r="B6" s="15" t="str">
        <x:v>许昌魏都万达</x:v>
      </x:c>
      <x:c r="C6" s="15" t="str">
        <x:v>B类</x:v>
      </x:c>
      <x:c r="D6" s="15" t="n">
        <x:v>14</x:v>
      </x:c>
      <x:c r="E6" s="16" t="n">
        <x:v>18068.2</x:v>
      </x:c>
      <x:c r="F6" s="16" t="n">
        <x:v>24264</x:v>
      </x:c>
      <x:c r="G6" s="17" t="n">
        <x:f>IFERROR(E6/F6,0)</x:f>
        <x:v>0.7446505110451699</x:v>
      </x:c>
      <x:c r="H6" s="16" t="n">
        <x:v>6800</x:v>
      </x:c>
      <x:c r="I6" s="17" t="n">
        <x:f>IFERROR(H6/E6,0)</x:f>
        <x:v>0.3763518225390465</x:v>
      </x:c>
      <x:c r="J6" s="16" t="n">
        <x:f>E6-H6</x:f>
        <x:v>11268.2</x:v>
      </x:c>
      <x:c r="K6" s="17" t="n">
        <x:v>0.6552</x:v>
      </x:c>
      <x:c r="L6" s="15" t="n">
        <x:v>24</x:v>
      </x:c>
      <x:c r="M6" s="15" t="n">
        <x:v>9</x:v>
      </x:c>
      <x:c r="N6" s="15" t="n">
        <x:v>15</x:v>
      </x:c>
      <x:c r="O6" s="15" t="n">
        <x:v>0</x:v>
      </x:c>
      <x:c r="P6" s="17" t="n">
        <x:f>IFERROR(M6/L6,0)</x:f>
        <x:v>0.375</x:v>
      </x:c>
      <x:c r="Q6" s="17" t="n">
        <x:f>IFERROR(N6/L6,0)</x:f>
        <x:v>0.625</x:v>
      </x:c>
      <x:c r="R6" s="17" t="n">
        <x:f>IFERROR(O6/L6,0)</x:f>
        <x:v>0</x:v>
      </x:c>
      <x:c r="S6" s="17" t="n">
        <x:f>Q6+R6</x:f>
        <x:v>0.625</x:v>
      </x:c>
      <x:c r="T6" s="15" t="n">
        <x:v>14</x:v>
      </x:c>
      <x:c r="U6" s="15" t="n">
        <x:v>0</x:v>
      </x:c>
      <x:c r="V6" s="15" t="n">
        <x:v>8</x:v>
      </x:c>
      <x:c r="W6" s="15" t="n">
        <x:v>6</x:v>
      </x:c>
      <x:c r="X6" s="17" t="n">
        <x:f>IFERROR((N6+O6+V6+W6)/(L6+T6),0)</x:f>
        <x:v>0.7631578947368421</x:v>
      </x:c>
      <x:c r="Y6" s="16" t="n">
        <x:v>4482</x:v>
      </x:c>
      <x:c r="Z6" s="17" t="n">
        <x:f>IFERROR(Y6/E6,0)</x:f>
        <x:v>0.24806012773823624</x:v>
      </x:c>
      <x:c r="AA6" s="16" t="n">
        <x:v>1985</x:v>
      </x:c>
      <x:c r="AB6" s="17" t="n">
        <x:f>IFERROR(AA6/E6,0)</x:f>
        <x:v>0.10986152466764813</x:v>
      </x:c>
      <x:c r="AC6" s="15" t="n">
        <x:v>3</x:v>
      </x:c>
      <x:c r="AD6" s="18" t="str">
        <x:v>完成率未过线；总引流占比未过线；扫楼占比未过线</x:v>
      </x:c>
    </x:row>
    <x:row r="7">
      <x:c r="A7" s="14" t="str">
        <x:v>1区</x:v>
      </x:c>
      <x:c r="B7" s="15" t="str">
        <x:v>南阳万达</x:v>
      </x:c>
      <x:c r="C7" s="15" t="str">
        <x:v>B类</x:v>
      </x:c>
      <x:c r="D7" s="15" t="n">
        <x:v>18</x:v>
      </x:c>
      <x:c r="E7" s="16" t="n">
        <x:v>17049</x:v>
      </x:c>
      <x:c r="F7" s="16" t="n">
        <x:v>30027</x:v>
      </x:c>
      <x:c r="G7" s="17" t="n">
        <x:f>IFERROR(E7/F7,0)</x:f>
        <x:v>0.5677889899090818</x:v>
      </x:c>
      <x:c r="H7" s="16" t="n">
        <x:v>3246</x:v>
      </x:c>
      <x:c r="I7" s="17" t="n">
        <x:f>IFERROR(H7/E7,0)</x:f>
        <x:v>0.19039239838113672</x:v>
      </x:c>
      <x:c r="J7" s="16" t="n">
        <x:f>E7-H7</x:f>
        <x:v>13803</x:v>
      </x:c>
      <x:c r="K7" s="17" t="n">
        <x:v>0.7609</x:v>
      </x:c>
      <x:c r="L7" s="15" t="n">
        <x:v>28</x:v>
      </x:c>
      <x:c r="M7" s="15" t="n">
        <x:v>11</x:v>
      </x:c>
      <x:c r="N7" s="15" t="n">
        <x:v>13</x:v>
      </x:c>
      <x:c r="O7" s="15" t="n">
        <x:v>4</x:v>
      </x:c>
      <x:c r="P7" s="17" t="n">
        <x:f>IFERROR(M7/L7,0)</x:f>
        <x:v>0.39285714285714285</x:v>
      </x:c>
      <x:c r="Q7" s="17" t="n">
        <x:f>IFERROR(N7/L7,0)</x:f>
        <x:v>0.4642857142857143</x:v>
      </x:c>
      <x:c r="R7" s="17" t="n">
        <x:f>IFERROR(O7/L7,0)</x:f>
        <x:v>0.14285714285714285</x:v>
      </x:c>
      <x:c r="S7" s="17" t="n">
        <x:f>Q7+R7</x:f>
        <x:v>0.6071428571428572</x:v>
      </x:c>
      <x:c r="T7" s="15" t="n">
        <x:v>7</x:v>
      </x:c>
      <x:c r="U7" s="15" t="n">
        <x:v>1</x:v>
      </x:c>
      <x:c r="V7" s="15" t="n">
        <x:v>3</x:v>
      </x:c>
      <x:c r="W7" s="15" t="n">
        <x:v>3</x:v>
      </x:c>
      <x:c r="X7" s="17" t="n">
        <x:f>IFERROR((N7+O7+V7+W7)/(L7+T7),0)</x:f>
        <x:v>0.6571428571428571</x:v>
      </x:c>
      <x:c r="Y7" s="16" t="n">
        <x:v>7514</x:v>
      </x:c>
      <x:c r="Z7" s="17" t="n">
        <x:f>IFERROR(Y7/E7,0)</x:f>
        <x:v>0.44072966156372806</x:v>
      </x:c>
      <x:c r="AA7" s="16" t="n">
        <x:v>2479</x:v>
      </x:c>
      <x:c r="AB7" s="17" t="n">
        <x:f>IFERROR(AA7/E7,0)</x:f>
        <x:v>0.14540442254677693</x:v>
      </x:c>
      <x:c r="AC7" s="15" t="n">
        <x:v>4</x:v>
      </x:c>
      <x:c r="AD7" s="18" t="str">
        <x:v>完成率未过线；续卡占比未过线；扫楼占比未过线；整体大卡率未过线</x:v>
      </x:c>
    </x:row>
    <x:row r="8">
      <x:c r="A8" s="14" t="str">
        <x:v>2区</x:v>
      </x:c>
      <x:c r="B8" s="15" t="str">
        <x:v>焦作万达</x:v>
      </x:c>
      <x:c r="C8" s="15" t="str">
        <x:v>A类</x:v>
      </x:c>
      <x:c r="D8" s="15" t="n">
        <x:v>15</x:v>
      </x:c>
      <x:c r="E8" s="16" t="n">
        <x:v>34918.4</x:v>
      </x:c>
      <x:c r="F8" s="16" t="n">
        <x:v>40419</x:v>
      </x:c>
      <x:c r="G8" s="17" t="n">
        <x:f>IFERROR(E8/F8,0)</x:f>
        <x:v>0.86391053712363</x:v>
      </x:c>
      <x:c r="H8" s="16" t="n">
        <x:v>8600</x:v>
      </x:c>
      <x:c r="I8" s="17" t="n">
        <x:f>IFERROR(H8/E8,0)</x:f>
        <x:v>0.24628848973607037</x:v>
      </x:c>
      <x:c r="J8" s="16" t="n">
        <x:f>E8-H8</x:f>
        <x:v>26318.4</x:v>
      </x:c>
      <x:c r="K8" s="17" t="n">
        <x:v>0.6667000000000001</x:v>
      </x:c>
      <x:c r="L8" s="15" t="n">
        <x:v>58</x:v>
      </x:c>
      <x:c r="M8" s="15" t="n">
        <x:v>32</x:v>
      </x:c>
      <x:c r="N8" s="15" t="n">
        <x:v>22</x:v>
      </x:c>
      <x:c r="O8" s="15" t="n">
        <x:v>4</x:v>
      </x:c>
      <x:c r="P8" s="17" t="n">
        <x:f>IFERROR(M8/L8,0)</x:f>
        <x:v>0.5517241379310345</x:v>
      </x:c>
      <x:c r="Q8" s="17" t="n">
        <x:f>IFERROR(N8/L8,0)</x:f>
        <x:v>0.3793103448275862</x:v>
      </x:c>
      <x:c r="R8" s="17" t="n">
        <x:f>IFERROR(O8/L8,0)</x:f>
        <x:v>0.06896551724137931</x:v>
      </x:c>
      <x:c r="S8" s="17" t="n">
        <x:f>Q8+R8</x:f>
        <x:v>0.4482758620689655</x:v>
      </x:c>
      <x:c r="T8" s="15" t="n">
        <x:v>18</x:v>
      </x:c>
      <x:c r="U8" s="15" t="n">
        <x:v>0</x:v>
      </x:c>
      <x:c r="V8" s="15" t="n">
        <x:v>11</x:v>
      </x:c>
      <x:c r="W8" s="15" t="n">
        <x:v>7</x:v>
      </x:c>
      <x:c r="X8" s="17" t="n">
        <x:f>IFERROR((N8+O8+V8+W8)/(L8+T8),0)</x:f>
        <x:v>0.5789473684210527</x:v>
      </x:c>
      <x:c r="Y8" s="16" t="n">
        <x:v>25863.4</x:v>
      </x:c>
      <x:c r="Z8" s="17" t="n">
        <x:f>IFERROR(Y8/E8,0)</x:f>
        <x:v>0.7406811308651027</x:v>
      </x:c>
      <x:c r="AA8" s="16" t="n">
        <x:v>9811</x:v>
      </x:c>
      <x:c r="AB8" s="17" t="n">
        <x:f>IFERROR(AA8/E8,0)</x:f>
        <x:v>0.2809693456744868</x:v>
      </x:c>
      <x:c r="AC8" s="15" t="n">
        <x:v>3</x:v>
      </x:c>
      <x:c r="AD8" s="18" t="str">
        <x:v>完成率未过线；新签中大卡率未过线；整体大卡率未过线</x:v>
      </x:c>
    </x:row>
    <x:row r="9">
      <x:c r="A9" s="14" t="str">
        <x:v>2区</x:v>
      </x:c>
      <x:c r="B9" s="15" t="str">
        <x:v>郑州惠济万达</x:v>
      </x:c>
      <x:c r="C9" s="15" t="str">
        <x:v>B类</x:v>
      </x:c>
      <x:c r="D9" s="15" t="n">
        <x:v>10</x:v>
      </x:c>
      <x:c r="E9" s="16" t="n">
        <x:v>14373</x:v>
      </x:c>
      <x:c r="F9" s="16" t="n">
        <x:v>31095</x:v>
      </x:c>
      <x:c r="G9" s="17" t="n">
        <x:f>IFERROR(E9/F9,0)</x:f>
        <x:v>0.4622286541244573</x:v>
      </x:c>
      <x:c r="H9" s="16" t="n">
        <x:v>3638</x:v>
      </x:c>
      <x:c r="I9" s="17" t="n">
        <x:f>IFERROR(H9/E9,0)</x:f>
        <x:v>0.2531134766576219</x:v>
      </x:c>
      <x:c r="J9" s="16" t="n">
        <x:f>E9-H9</x:f>
        <x:v>10735</x:v>
      </x:c>
      <x:c r="K9" s="17" t="n">
        <x:v>0.617</x:v>
      </x:c>
      <x:c r="L9" s="15" t="n">
        <x:v>20</x:v>
      </x:c>
      <x:c r="M9" s="15" t="n">
        <x:v>7</x:v>
      </x:c>
      <x:c r="N9" s="15" t="n">
        <x:v>12</x:v>
      </x:c>
      <x:c r="O9" s="15" t="n">
        <x:v>1</x:v>
      </x:c>
      <x:c r="P9" s="17" t="n">
        <x:f>IFERROR(M9/L9,0)</x:f>
        <x:v>0.35</x:v>
      </x:c>
      <x:c r="Q9" s="17" t="n">
        <x:f>IFERROR(N9/L9,0)</x:f>
        <x:v>0.6</x:v>
      </x:c>
      <x:c r="R9" s="17" t="n">
        <x:f>IFERROR(O9/L9,0)</x:f>
        <x:v>0.05</x:v>
      </x:c>
      <x:c r="S9" s="17" t="n">
        <x:f>Q9+R9</x:f>
        <x:v>0.65</x:v>
      </x:c>
      <x:c r="T9" s="15" t="n">
        <x:v>9</x:v>
      </x:c>
      <x:c r="U9" s="15" t="n">
        <x:v>1</x:v>
      </x:c>
      <x:c r="V9" s="15" t="n">
        <x:v>7</x:v>
      </x:c>
      <x:c r="W9" s="15" t="n">
        <x:v>1</x:v>
      </x:c>
      <x:c r="X9" s="17" t="n">
        <x:f>IFERROR((N9+O9+V9+W9)/(L9+T9),0)</x:f>
        <x:v>0.7241379310344828</x:v>
      </x:c>
      <x:c r="Y9" s="16" t="n">
        <x:v>4789</x:v>
      </x:c>
      <x:c r="Z9" s="17" t="n">
        <x:f>IFERROR(Y9/E9,0)</x:f>
        <x:v>0.33319418353857927</x:v>
      </x:c>
      <x:c r="AA9" s="16" t="n">
        <x:v>2392</x:v>
      </x:c>
      <x:c r="AB9" s="17" t="n">
        <x:f>IFERROR(AA9/E9,0)</x:f>
        <x:v>0.16642315452584708</x:v>
      </x:c>
      <x:c r="AC9" s="15" t="n">
        <x:v>1</x:v>
      </x:c>
      <x:c r="AD9" s="18" t="str">
        <x:v>完成率未过线</x:v>
      </x:c>
    </x:row>
    <x:row r="10">
      <x:c r="A10" s="14" t="str">
        <x:v>2区</x:v>
      </x:c>
      <x:c r="B10" s="15" t="str">
        <x:v>新乡万达</x:v>
      </x:c>
      <x:c r="C10" s="15" t="str">
        <x:v>C类</x:v>
      </x:c>
      <x:c r="D10" s="15" t="n">
        <x:v>13</x:v>
      </x:c>
      <x:c r="E10" s="16" t="n">
        <x:v>10399.3</x:v>
      </x:c>
      <x:c r="F10" s="16" t="n">
        <x:v>21013</x:v>
      </x:c>
      <x:c r="G10" s="17" t="n">
        <x:f>IFERROR(E10/F10,0)</x:f>
        <x:v>0.49489839623090465</x:v>
      </x:c>
      <x:c r="H10" s="16" t="n">
        <x:v>2300</x:v>
      </x:c>
      <x:c r="I10" s="17" t="n">
        <x:f>IFERROR(H10/E10,0)</x:f>
        <x:v>0.2211687325108421</x:v>
      </x:c>
      <x:c r="J10" s="16" t="n">
        <x:f>E10-H10</x:f>
        <x:v>8099.299999999999</x:v>
      </x:c>
      <x:c r="K10" s="17" t="n">
        <x:v>0.2963</x:v>
      </x:c>
      <x:c r="L10" s="15" t="n">
        <x:v>11</x:v>
      </x:c>
      <x:c r="M10" s="15" t="n">
        <x:v>6</x:v>
      </x:c>
      <x:c r="N10" s="15" t="n">
        <x:v>4</x:v>
      </x:c>
      <x:c r="O10" s="15" t="n">
        <x:v>1</x:v>
      </x:c>
      <x:c r="P10" s="17" t="n">
        <x:f>IFERROR(M10/L10,0)</x:f>
        <x:v>0.5454545454545454</x:v>
      </x:c>
      <x:c r="Q10" s="17" t="n">
        <x:f>IFERROR(N10/L10,0)</x:f>
        <x:v>0.36363636363636365</x:v>
      </x:c>
      <x:c r="R10" s="17" t="n">
        <x:f>IFERROR(O10/L10,0)</x:f>
        <x:v>0.09090909090909091</x:v>
      </x:c>
      <x:c r="S10" s="17" t="n">
        <x:f>Q10+R10</x:f>
        <x:v>0.4545454545454546</x:v>
      </x:c>
      <x:c r="T10" s="15" t="n">
        <x:v>5</x:v>
      </x:c>
      <x:c r="U10" s="15" t="n">
        <x:v>1</x:v>
      </x:c>
      <x:c r="V10" s="15" t="n">
        <x:v>2</x:v>
      </x:c>
      <x:c r="W10" s="15" t="n">
        <x:v>2</x:v>
      </x:c>
      <x:c r="X10" s="17" t="n">
        <x:f>IFERROR((N10+O10+V10+W10)/(L10+T10),0)</x:f>
        <x:v>0.5625</x:v>
      </x:c>
      <x:c r="Y10" s="16" t="n">
        <x:v>6998.3</x:v>
      </x:c>
      <x:c r="Z10" s="17" t="n">
        <x:f>IFERROR(Y10/E10,0)</x:f>
        <x:v>0.6729587568394028</x:v>
      </x:c>
      <x:c r="AA10" s="16" t="n">
        <x:v>1044</x:v>
      </x:c>
      <x:c r="AB10" s="17" t="n">
        <x:f>IFERROR(AA10/E10,0)</x:f>
        <x:v>0.10039137249622572</x:v>
      </x:c>
      <x:c r="AC10" s="15" t="n">
        <x:v>5</x:v>
      </x:c>
      <x:c r="AD10" s="18" t="str">
        <x:v>完成率未过线；新签办卡率未过线；新签中大卡率未过线；扫楼占比未过线；整体大卡率未过线</x:v>
      </x:c>
    </x:row>
    <x:row r="11">
      <x:c r="A11" s="14" t="str">
        <x:v>2区</x:v>
      </x:c>
      <x:c r="B11" s="15" t="str">
        <x:v>洛阳泉舜</x:v>
      </x:c>
      <x:c r="C11" s="15" t="str">
        <x:v>A类</x:v>
      </x:c>
      <x:c r="D11" s="15" t="n">
        <x:v>12</x:v>
      </x:c>
      <x:c r="E11" s="16" t="n">
        <x:v>41410.2</x:v>
      </x:c>
      <x:c r="F11" s="16" t="n">
        <x:v>43950</x:v>
      </x:c>
      <x:c r="G11" s="17" t="n">
        <x:f>IFERROR(E11/F11,0)</x:f>
        <x:v>0.942211604095563</x:v>
      </x:c>
      <x:c r="H11" s="16" t="n">
        <x:v>14993</x:v>
      </x:c>
      <x:c r="I11" s="17" t="n">
        <x:f>IFERROR(H11/E11,0)</x:f>
        <x:v>0.3620605551289296</x:v>
      </x:c>
      <x:c r="J11" s="16" t="n">
        <x:f>E11-H11</x:f>
        <x:v>26417.199999999997</x:v>
      </x:c>
      <x:c r="K11" s="17" t="n">
        <x:v>0.527</x:v>
      </x:c>
      <x:c r="L11" s="15" t="n">
        <x:v>47</x:v>
      </x:c>
      <x:c r="M11" s="15" t="n">
        <x:v>25</x:v>
      </x:c>
      <x:c r="N11" s="15" t="n">
        <x:v>17</x:v>
      </x:c>
      <x:c r="O11" s="15" t="n">
        <x:v>5</x:v>
      </x:c>
      <x:c r="P11" s="17" t="n">
        <x:f>IFERROR(M11/L11,0)</x:f>
        <x:v>0.5319148936170213</x:v>
      </x:c>
      <x:c r="Q11" s="17" t="n">
        <x:f>IFERROR(N11/L11,0)</x:f>
        <x:v>0.3617021276595745</x:v>
      </x:c>
      <x:c r="R11" s="17" t="n">
        <x:f>IFERROR(O11/L11,0)</x:f>
        <x:v>0.10638297872340426</x:v>
      </x:c>
      <x:c r="S11" s="17" t="n">
        <x:f>Q11+R11</x:f>
        <x:v>0.46808510638297873</x:v>
      </x:c>
      <x:c r="T11" s="15" t="n">
        <x:v>31</x:v>
      </x:c>
      <x:c r="U11" s="15" t="n">
        <x:v>1</x:v>
      </x:c>
      <x:c r="V11" s="15" t="n">
        <x:v>17</x:v>
      </x:c>
      <x:c r="W11" s="15" t="n">
        <x:v>13</x:v>
      </x:c>
      <x:c r="X11" s="17" t="n">
        <x:f>IFERROR((N11+O11+V11+W11)/(L11+T11),0)</x:f>
        <x:v>0.6666666666666666</x:v>
      </x:c>
      <x:c r="Y11" s="16" t="n">
        <x:v>11237.2</x:v>
      </x:c>
      <x:c r="Z11" s="17" t="n">
        <x:f>IFERROR(Y11/E11,0)</x:f>
        <x:v>0.27136309411690845</x:v>
      </x:c>
      <x:c r="AA11" s="16" t="n">
        <x:v>6369</x:v>
      </x:c>
      <x:c r="AB11" s="17" t="n">
        <x:f>IFERROR(AA11/E11,0)</x:f>
        <x:v>0.15380268629468102</x:v>
      </x:c>
      <x:c r="AC11" s="15" t="n">
        <x:v>2</x:v>
      </x:c>
      <x:c r="AD11" s="18" t="str">
        <x:v>完成率未过线；新签中大卡率未过线</x:v>
      </x:c>
    </x:row>
    <x:row r="12">
      <x:c r="A12" s="14" t="str">
        <x:v>2区</x:v>
      </x:c>
      <x:c r="B12" s="15" t="str">
        <x:v>周口万达</x:v>
      </x:c>
      <x:c r="C12" s="15" t="str">
        <x:v>C类</x:v>
      </x:c>
      <x:c r="D12" s="15" t="n">
        <x:v>9</x:v>
      </x:c>
      <x:c r="E12" s="16" t="n">
        <x:v>17683</x:v>
      </x:c>
      <x:c r="F12" s="16" t="n">
        <x:v>17398</x:v>
      </x:c>
      <x:c r="G12" s="17" t="n">
        <x:f>IFERROR(E12/F12,0)</x:f>
        <x:v>1.0163811932406024</x:v>
      </x:c>
      <x:c r="H12" s="16" t="n">
        <x:v>4548</x:v>
      </x:c>
      <x:c r="I12" s="17" t="n">
        <x:f>IFERROR(H12/E12,0)</x:f>
        <x:v>0.25719617711926707</x:v>
      </x:c>
      <x:c r="J12" s="16" t="n">
        <x:f>E12-H12</x:f>
        <x:v>13135</x:v>
      </x:c>
      <x:c r="K12" s="17" t="n">
        <x:v>0.4819</x:v>
      </x:c>
      <x:c r="L12" s="15" t="n">
        <x:v>29</x:v>
      </x:c>
      <x:c r="M12" s="15" t="n">
        <x:v>12</x:v>
      </x:c>
      <x:c r="N12" s="15" t="n">
        <x:v>15</x:v>
      </x:c>
      <x:c r="O12" s="15" t="n">
        <x:v>2</x:v>
      </x:c>
      <x:c r="P12" s="17" t="n">
        <x:f>IFERROR(M12/L12,0)</x:f>
        <x:v>0.41379310344827586</x:v>
      </x:c>
      <x:c r="Q12" s="17" t="n">
        <x:f>IFERROR(N12/L12,0)</x:f>
        <x:v>0.5172413793103449</x:v>
      </x:c>
      <x:c r="R12" s="17" t="n">
        <x:f>IFERROR(O12/L12,0)</x:f>
        <x:v>0.06896551724137931</x:v>
      </x:c>
      <x:c r="S12" s="17" t="n">
        <x:f>Q12+R12</x:f>
        <x:v>0.5862068965517242</x:v>
      </x:c>
      <x:c r="T12" s="15" t="n">
        <x:v>11</x:v>
      </x:c>
      <x:c r="U12" s="15" t="n">
        <x:v>1</x:v>
      </x:c>
      <x:c r="V12" s="15" t="n">
        <x:v>3</x:v>
      </x:c>
      <x:c r="W12" s="15" t="n">
        <x:v>7</x:v>
      </x:c>
      <x:c r="X12" s="17" t="n">
        <x:f>IFERROR((N12+O12+V12+W12)/(L12+T12),0)</x:f>
        <x:v>0.675</x:v>
      </x:c>
      <x:c r="Y12" s="16" t="n">
        <x:v>4849</x:v>
      </x:c>
      <x:c r="Z12" s="17" t="n">
        <x:f>IFERROR(Y12/E12,0)</x:f>
        <x:v>0.27421817564892836</x:v>
      </x:c>
      <x:c r="AA12" s="16" t="n">
        <x:v>0</x:v>
      </x:c>
      <x:c r="AB12" s="17" t="n">
        <x:f>IFERROR(AA12/E12,0)</x:f>
        <x:v>0</x:v>
      </x:c>
      <x:c r="AC12" s="15" t="n">
        <x:v>2</x:v>
      </x:c>
      <x:c r="AD12" s="18" t="str">
        <x:v>扫楼占比未过线；整体大卡率未过线</x:v>
      </x:c>
    </x:row>
    <x:row r="13">
      <x:c r="A13" s="14" t="str">
        <x:v>2区</x:v>
      </x:c>
      <x:c r="B13" s="15" t="str">
        <x:v>洛阳中州万达</x:v>
      </x:c>
      <x:c r="C13" s="15" t="str">
        <x:v>B类</x:v>
      </x:c>
      <x:c r="D13" s="15" t="n">
        <x:v>10</x:v>
      </x:c>
      <x:c r="E13" s="16" t="n">
        <x:v>25586</x:v>
      </x:c>
      <x:c r="F13" s="16" t="n">
        <x:v>24758</x:v>
      </x:c>
      <x:c r="G13" s="17" t="n">
        <x:f>IFERROR(E13/F13,0)</x:f>
        <x:v>1.033443735358268</x:v>
      </x:c>
      <x:c r="H13" s="16" t="n">
        <x:v>5985</x:v>
      </x:c>
      <x:c r="I13" s="17" t="n">
        <x:f>IFERROR(H13/E13,0)</x:f>
        <x:v>0.23391698585163762</x:v>
      </x:c>
      <x:c r="J13" s="16" t="n">
        <x:f>E13-H13</x:f>
        <x:v>19601</x:v>
      </x:c>
      <x:c r="K13" s="17" t="n">
        <x:v>0.5871999999999999</x:v>
      </x:c>
      <x:c r="L13" s="15" t="n">
        <x:v>49</x:v>
      </x:c>
      <x:c r="M13" s="15" t="n">
        <x:v>38</x:v>
      </x:c>
      <x:c r="N13" s="15" t="n">
        <x:v>11</x:v>
      </x:c>
      <x:c r="O13" s="15" t="n">
        <x:v>0</x:v>
      </x:c>
      <x:c r="P13" s="17" t="n">
        <x:f>IFERROR(M13/L13,0)</x:f>
        <x:v>0.7755102040816326</x:v>
      </x:c>
      <x:c r="Q13" s="17" t="n">
        <x:f>IFERROR(N13/L13,0)</x:f>
        <x:v>0.22448979591836735</x:v>
      </x:c>
      <x:c r="R13" s="17" t="n">
        <x:f>IFERROR(O13/L13,0)</x:f>
        <x:v>0</x:v>
      </x:c>
      <x:c r="S13" s="17" t="n">
        <x:f>Q13+R13</x:f>
        <x:v>0.22448979591836735</x:v>
      </x:c>
      <x:c r="T13" s="15" t="n">
        <x:v>15</x:v>
      </x:c>
      <x:c r="U13" s="15" t="n">
        <x:v>3</x:v>
      </x:c>
      <x:c r="V13" s="15" t="n">
        <x:v>10</x:v>
      </x:c>
      <x:c r="W13" s="15" t="n">
        <x:v>2</x:v>
      </x:c>
      <x:c r="X13" s="17" t="n">
        <x:f>IFERROR((N13+O13+V13+W13)/(L13+T13),0)</x:f>
        <x:v>0.359375</x:v>
      </x:c>
      <x:c r="Y13" s="16" t="n">
        <x:v>13200</x:v>
      </x:c>
      <x:c r="Z13" s="17" t="n">
        <x:f>IFERROR(Y13/E13,0)</x:f>
        <x:v>0.5159071367153912</x:v>
      </x:c>
      <x:c r="AA13" s="16" t="n">
        <x:v>4819</x:v>
      </x:c>
      <x:c r="AB13" s="17" t="n">
        <x:f>IFERROR(AA13/E13,0)</x:f>
        <x:v>0.1883451887751114</x:v>
      </x:c>
      <x:c r="AC13" s="15" t="n">
        <x:v>2</x:v>
      </x:c>
      <x:c r="AD13" s="18" t="str">
        <x:v>新签中大卡率未过线；整体大卡率未过线</x:v>
      </x:c>
    </x:row>
    <x:row r="14">
      <x:c r="A14" s="14" t="str">
        <x:v>2区</x:v>
      </x:c>
      <x:c r="B14" s="15" t="str">
        <x:v>郑州信万</x:v>
      </x:c>
      <x:c r="C14" s="15" t="str">
        <x:v>C类</x:v>
      </x:c>
      <x:c r="D14" s="15" t="n">
        <x:v>14</x:v>
      </x:c>
      <x:c r="E14" s="16" t="n">
        <x:v>9562</x:v>
      </x:c>
      <x:c r="F14" s="16" t="n">
        <x:v>18966</x:v>
      </x:c>
      <x:c r="G14" s="17" t="n">
        <x:f>IFERROR(E14/F14,0)</x:f>
        <x:v>0.5041653485184013</x:v>
      </x:c>
      <x:c r="H14" s="16" t="n">
        <x:v>2200</x:v>
      </x:c>
      <x:c r="I14" s="17" t="n">
        <x:f>IFERROR(H14/E14,0)</x:f>
        <x:v>0.2300773896674336</x:v>
      </x:c>
      <x:c r="J14" s="16" t="n">
        <x:f>E14-H14</x:f>
        <x:v>7362</x:v>
      </x:c>
      <x:c r="K14" s="17" t="n">
        <x:v>0.5484</x:v>
      </x:c>
      <x:c r="L14" s="15" t="n">
        <x:v>13</x:v>
      </x:c>
      <x:c r="M14" s="15" t="n">
        <x:v>2</x:v>
      </x:c>
      <x:c r="N14" s="15" t="n">
        <x:v>10</x:v>
      </x:c>
      <x:c r="O14" s="15" t="n">
        <x:v>1</x:v>
      </x:c>
      <x:c r="P14" s="17" t="n">
        <x:f>IFERROR(M14/L14,0)</x:f>
        <x:v>0.15384615384615385</x:v>
      </x:c>
      <x:c r="Q14" s="17" t="n">
        <x:f>IFERROR(N14/L14,0)</x:f>
        <x:v>0.7692307692307693</x:v>
      </x:c>
      <x:c r="R14" s="17" t="n">
        <x:f>IFERROR(O14/L14,0)</x:f>
        <x:v>0.07692307692307693</x:v>
      </x:c>
      <x:c r="S14" s="17" t="n">
        <x:f>Q14+R14</x:f>
        <x:v>0.8461538461538463</x:v>
      </x:c>
      <x:c r="T14" s="15" t="n">
        <x:v>4</x:v>
      </x:c>
      <x:c r="U14" s="15" t="n">
        <x:v>0</x:v>
      </x:c>
      <x:c r="V14" s="15" t="n">
        <x:v>1</x:v>
      </x:c>
      <x:c r="W14" s="15" t="n">
        <x:v>3</x:v>
      </x:c>
      <x:c r="X14" s="17" t="n">
        <x:f>IFERROR((N14+O14+V14+W14)/(L14+T14),0)</x:f>
        <x:v>0.8823529411764706</x:v>
      </x:c>
      <x:c r="Y14" s="16" t="n">
        <x:v>5867</x:v>
      </x:c>
      <x:c r="Z14" s="17" t="n">
        <x:f>IFERROR(Y14/E14,0)</x:f>
        <x:v>0.6135745659903786</x:v>
      </x:c>
      <x:c r="AA14" s="16" t="n">
        <x:v>2591</x:v>
      </x:c>
      <x:c r="AB14" s="17" t="n">
        <x:f>IFERROR(AA14/E14,0)</x:f>
        <x:v>0.27096841664923654</x:v>
      </x:c>
      <x:c r="AC14" s="15" t="n">
        <x:v>1</x:v>
      </x:c>
      <x:c r="AD14" s="18" t="str">
        <x:v>完成率未过线</x:v>
      </x:c>
    </x:row>
    <x:row r="15">
      <x:c r="A15" s="14" t="str">
        <x:v>3区</x:v>
      </x:c>
      <x:c r="B15" s="15" t="str">
        <x:v>武汉荟聚</x:v>
      </x:c>
      <x:c r="C15" s="15" t="str">
        <x:v>A类</x:v>
      </x:c>
      <x:c r="D15" s="15" t="n">
        <x:v>10</x:v>
      </x:c>
      <x:c r="E15" s="16" t="n">
        <x:v>34718.7</x:v>
      </x:c>
      <x:c r="F15" s="16" t="n">
        <x:v>43960</x:v>
      </x:c>
      <x:c r="G15" s="17" t="n">
        <x:f>IFERROR(E15/F15,0)</x:f>
        <x:v>0.7897793448589626</x:v>
      </x:c>
      <x:c r="H15" s="16" t="n">
        <x:v>1600</x:v>
      </x:c>
      <x:c r="I15" s="17" t="n">
        <x:f>IFERROR(H15/E15,0)</x:f>
        <x:v>0.0460846748294147</x:v>
      </x:c>
      <x:c r="J15" s="16" t="n">
        <x:f>E15-H15</x:f>
        <x:v>33118.7</x:v>
      </x:c>
      <x:c r="K15" s="17" t="n">
        <x:v>0.4878</x:v>
      </x:c>
      <x:c r="L15" s="15" t="n">
        <x:v>57</x:v>
      </x:c>
      <x:c r="M15" s="15" t="n">
        <x:v>29</x:v>
      </x:c>
      <x:c r="N15" s="15" t="n">
        <x:v>21</x:v>
      </x:c>
      <x:c r="O15" s="15" t="n">
        <x:v>7</x:v>
      </x:c>
      <x:c r="P15" s="17" t="n">
        <x:f>IFERROR(M15/L15,0)</x:f>
        <x:v>0.5087719298245614</x:v>
      </x:c>
      <x:c r="Q15" s="17" t="n">
        <x:f>IFERROR(N15/L15,0)</x:f>
        <x:v>0.3684210526315789</x:v>
      </x:c>
      <x:c r="R15" s="17" t="n">
        <x:f>IFERROR(O15/L15,0)</x:f>
        <x:v>0.12280701754385964</x:v>
      </x:c>
      <x:c r="S15" s="17" t="n">
        <x:f>Q15+R15</x:f>
        <x:v>0.49122807017543857</x:v>
      </x:c>
      <x:c r="T15" s="15" t="n">
        <x:v>3</x:v>
      </x:c>
      <x:c r="U15" s="15" t="n">
        <x:v>0</x:v>
      </x:c>
      <x:c r="V15" s="15" t="n">
        <x:v>1</x:v>
      </x:c>
      <x:c r="W15" s="15" t="n">
        <x:v>2</x:v>
      </x:c>
      <x:c r="X15" s="17" t="n">
        <x:f>IFERROR((N15+O15+V15+W15)/(L15+T15),0)</x:f>
        <x:v>0.5166666666666667</x:v>
      </x:c>
      <x:c r="Y15" s="16" t="n">
        <x:v>11516</x:v>
      </x:c>
      <x:c r="Z15" s="17" t="n">
        <x:f>IFERROR(Y15/E15,0)</x:f>
        <x:v>0.3316944470847123</x:v>
      </x:c>
      <x:c r="AA15" s="16" t="n">
        <x:v>5181</x:v>
      </x:c>
      <x:c r="AB15" s="17" t="n">
        <x:f>IFERROR(AA15/E15,0)</x:f>
        <x:v>0.14922793768199846</x:v>
      </x:c>
      <x:c r="AC15" s="15" t="n">
        <x:v>5</x:v>
      </x:c>
      <x:c r="AD15" s="18" t="str">
        <x:v>完成率未过线；新签中大卡率未过线；续卡占比未过线；扫楼占比未过线；整体大卡率未过线</x:v>
      </x:c>
    </x:row>
    <x:row r="16">
      <x:c r="A16" s="14" t="str">
        <x:v>3区</x:v>
      </x:c>
      <x:c r="B16" s="15" t="str">
        <x:v>郑州中原万达</x:v>
      </x:c>
      <x:c r="C16" s="15" t="str">
        <x:v>B类</x:v>
      </x:c>
      <x:c r="D16" s="15" t="n">
        <x:v>13</x:v>
      </x:c>
      <x:c r="E16" s="16" t="n">
        <x:v>11807.8</x:v>
      </x:c>
      <x:c r="F16" s="16" t="n">
        <x:v>31100</x:v>
      </x:c>
      <x:c r="G16" s="17" t="n">
        <x:f>IFERROR(E16/F16,0)</x:f>
        <x:v>0.37967202572347264</x:v>
      </x:c>
      <x:c r="H16" s="16" t="n">
        <x:v>1800</x:v>
      </x:c>
      <x:c r="I16" s="17" t="n">
        <x:f>IFERROR(H16/E16,0)</x:f>
        <x:v>0.15244160639577228</x:v>
      </x:c>
      <x:c r="J16" s="16" t="n">
        <x:f>E16-H16</x:f>
        <x:v>10007.8</x:v>
      </x:c>
      <x:c r="K16" s="17" t="n">
        <x:v>0.5652</x:v>
      </x:c>
      <x:c r="L16" s="15" t="n">
        <x:v>23</x:v>
      </x:c>
      <x:c r="M16" s="15" t="n">
        <x:v>18</x:v>
      </x:c>
      <x:c r="N16" s="15" t="n">
        <x:v>5</x:v>
      </x:c>
      <x:c r="O16" s="15" t="n">
        <x:v>0</x:v>
      </x:c>
      <x:c r="P16" s="17" t="n">
        <x:f>IFERROR(M16/L16,0)</x:f>
        <x:v>0.782608695652174</x:v>
      </x:c>
      <x:c r="Q16" s="17" t="n">
        <x:f>IFERROR(N16/L16,0)</x:f>
        <x:v>0.21739130434782608</x:v>
      </x:c>
      <x:c r="R16" s="17" t="n">
        <x:f>IFERROR(O16/L16,0)</x:f>
        <x:v>0</x:v>
      </x:c>
      <x:c r="S16" s="17" t="n">
        <x:f>Q16+R16</x:f>
        <x:v>0.21739130434782608</x:v>
      </x:c>
      <x:c r="T16" s="15" t="n">
        <x:v>3</x:v>
      </x:c>
      <x:c r="U16" s="15" t="n">
        <x:v>0</x:v>
      </x:c>
      <x:c r="V16" s="15" t="n">
        <x:v>0</x:v>
      </x:c>
      <x:c r="W16" s="15" t="n">
        <x:v>3</x:v>
      </x:c>
      <x:c r="X16" s="17" t="n">
        <x:f>IFERROR((N16+O16+V16+W16)/(L16+T16),0)</x:f>
        <x:v>0.3076923076923077</x:v>
      </x:c>
      <x:c r="Y16" s="16" t="n">
        <x:v>6496</x:v>
      </x:c>
      <x:c r="Z16" s="17" t="n">
        <x:f>IFERROR(Y16/E16,0)</x:f>
        <x:v>0.550144819526076</x:v>
      </x:c>
      <x:c r="AA16" s="16" t="n">
        <x:v>840</x:v>
      </x:c>
      <x:c r="AB16" s="17" t="n">
        <x:f>IFERROR(AA16/E16,0)</x:f>
        <x:v>0.07113941631802707</x:v>
      </x:c>
      <x:c r="AC16" s="15" t="n">
        <x:v>5</x:v>
      </x:c>
      <x:c r="AD16" s="18" t="str">
        <x:v>完成率未过线；新签中大卡率未过线；续卡占比未过线；扫楼占比未过线；整体大卡率未过线</x:v>
      </x:c>
    </x:row>
    <x:row r="17">
      <x:c r="A17" s="14" t="str">
        <x:v>3区</x:v>
      </x:c>
      <x:c r="B17" s="15" t="str">
        <x:v>安阳滑县吾悦</x:v>
      </x:c>
      <x:c r="C17" s="15" t="str">
        <x:v>C类</x:v>
      </x:c>
      <x:c r="D17" s="15" t="n">
        <x:v>8</x:v>
      </x:c>
      <x:c r="E17" s="16" t="n">
        <x:v>6644.05</x:v>
      </x:c>
      <x:c r="F17" s="16" t="n">
        <x:v>16610</x:v>
      </x:c>
      <x:c r="G17" s="17" t="n">
        <x:f>IFERROR(E17/F17,0)</x:f>
        <x:v>0.40000301023479834</x:v>
      </x:c>
      <x:c r="H17" s="16" t="n">
        <x:v>638</x:v>
      </x:c>
      <x:c r="I17" s="17" t="n">
        <x:f>IFERROR(H17/E17,0)</x:f>
        <x:v>0.09602576741595864</x:v>
      </x:c>
      <x:c r="J17" s="16" t="n">
        <x:f>E17-H17</x:f>
        <x:v>6006.05</x:v>
      </x:c>
      <x:c r="K17" s="17" t="n">
        <x:v>0.39020000000000005</x:v>
      </x:c>
      <x:c r="L17" s="15" t="n">
        <x:v>14</x:v>
      </x:c>
      <x:c r="M17" s="15" t="n">
        <x:v>5</x:v>
      </x:c>
      <x:c r="N17" s="15" t="n">
        <x:v>5</x:v>
      </x:c>
      <x:c r="O17" s="15" t="n">
        <x:v>4</x:v>
      </x:c>
      <x:c r="P17" s="17" t="n">
        <x:f>IFERROR(M17/L17,0)</x:f>
        <x:v>0.35714285714285715</x:v>
      </x:c>
      <x:c r="Q17" s="17" t="n">
        <x:f>IFERROR(N17/L17,0)</x:f>
        <x:v>0.35714285714285715</x:v>
      </x:c>
      <x:c r="R17" s="17" t="n">
        <x:f>IFERROR(O17/L17,0)</x:f>
        <x:v>0.2857142857142857</x:v>
      </x:c>
      <x:c r="S17" s="17" t="n">
        <x:f>Q17+R17</x:f>
        <x:v>0.6428571428571428</x:v>
      </x:c>
      <x:c r="T17" s="15" t="n">
        <x:v>2</x:v>
      </x:c>
      <x:c r="U17" s="15" t="n">
        <x:v>0</x:v>
      </x:c>
      <x:c r="V17" s="15" t="n">
        <x:v>0</x:v>
      </x:c>
      <x:c r="W17" s="15" t="n">
        <x:v>2</x:v>
      </x:c>
      <x:c r="X17" s="17" t="n">
        <x:f>IFERROR((N17+O17+V17+W17)/(L17+T17),0)</x:f>
        <x:v>0.6875</x:v>
      </x:c>
      <x:c r="Y17" s="16" t="n">
        <x:v>6235.05</x:v>
      </x:c>
      <x:c r="Z17" s="17" t="n">
        <x:f>IFERROR(Y17/E17,0)</x:f>
        <x:v>0.9384411616408667</x:v>
      </x:c>
      <x:c r="AA17" s="16" t="n">
        <x:v>542</x:v>
      </x:c>
      <x:c r="AB17" s="17" t="n">
        <x:f>IFERROR(AA17/E17,0)</x:f>
        <x:v>0.08157674912139433</x:v>
      </x:c>
      <x:c r="AC17" s="15" t="n">
        <x:v>5</x:v>
      </x:c>
      <x:c r="AD17" s="18" t="str">
        <x:v>完成率未过线；新签办卡率未过线；续卡占比未过线；扫楼占比未过线；整体大卡率未过线</x:v>
      </x:c>
    </x:row>
    <x:row r="18">
      <x:c r="A18" s="14" t="str">
        <x:v>3区</x:v>
      </x:c>
      <x:c r="B18" s="15" t="str">
        <x:v>安阳万达</x:v>
      </x:c>
      <x:c r="C18" s="15" t="str">
        <x:v>C类</x:v>
      </x:c>
      <x:c r="D18" s="15" t="n">
        <x:v>10</x:v>
      </x:c>
      <x:c r="E18" s="16" t="n">
        <x:v>10549</x:v>
      </x:c>
      <x:c r="F18" s="16" t="n">
        <x:v>17660</x:v>
      </x:c>
      <x:c r="G18" s="17" t="n">
        <x:f>IFERROR(E18/F18,0)</x:f>
        <x:v>0.5973386183465459</x:v>
      </x:c>
      <x:c r="H18" s="16" t="n">
        <x:v>3000</x:v>
      </x:c>
      <x:c r="I18" s="17" t="n">
        <x:f>IFERROR(H18/E18,0)</x:f>
        <x:v>0.2843871457010143</x:v>
      </x:c>
      <x:c r="J18" s="16" t="n">
        <x:f>E18-H18</x:f>
        <x:v>7549</x:v>
      </x:c>
      <x:c r="K18" s="17" t="n">
        <x:v>0.4359</x:v>
      </x:c>
      <x:c r="L18" s="15" t="n">
        <x:v>11</x:v>
      </x:c>
      <x:c r="M18" s="15" t="n">
        <x:v>4</x:v>
      </x:c>
      <x:c r="N18" s="15" t="n">
        <x:v>4</x:v>
      </x:c>
      <x:c r="O18" s="15" t="n">
        <x:v>3</x:v>
      </x:c>
      <x:c r="P18" s="17" t="n">
        <x:f>IFERROR(M18/L18,0)</x:f>
        <x:v>0.36363636363636365</x:v>
      </x:c>
      <x:c r="Q18" s="17" t="n">
        <x:f>IFERROR(N18/L18,0)</x:f>
        <x:v>0.36363636363636365</x:v>
      </x:c>
      <x:c r="R18" s="17" t="n">
        <x:f>IFERROR(O18/L18,0)</x:f>
        <x:v>0.2727272727272727</x:v>
      </x:c>
      <x:c r="S18" s="17" t="n">
        <x:f>Q18+R18</x:f>
        <x:v>0.6363636363636364</x:v>
      </x:c>
      <x:c r="T18" s="15" t="n">
        <x:v>6</x:v>
      </x:c>
      <x:c r="U18" s="15" t="n">
        <x:v>0</x:v>
      </x:c>
      <x:c r="V18" s="15" t="n">
        <x:v>3</x:v>
      </x:c>
      <x:c r="W18" s="15" t="n">
        <x:v>3</x:v>
      </x:c>
      <x:c r="X18" s="17" t="n">
        <x:f>IFERROR((N18+O18+V18+W18)/(L18+T18),0)</x:f>
        <x:v>0.7647058823529411</x:v>
      </x:c>
      <x:c r="Y18" s="16" t="n">
        <x:v>9349</x:v>
      </x:c>
      <x:c r="Z18" s="17" t="n">
        <x:f>IFERROR(Y18/E18,0)</x:f>
        <x:v>0.8862451417195942</x:v>
      </x:c>
      <x:c r="AA18" s="16" t="n">
        <x:v>0</x:v>
      </x:c>
      <x:c r="AB18" s="17" t="n">
        <x:f>IFERROR(AA18/E18,0)</x:f>
        <x:v>0</x:v>
      </x:c>
      <x:c r="AC18" s="15" t="n">
        <x:v>2</x:v>
      </x:c>
      <x:c r="AD18" s="18" t="str">
        <x:v>完成率未过线；扫楼占比未过线</x:v>
      </x:c>
    </x:row>
    <x:row r="19">
      <x:c r="A19" s="14" t="str">
        <x:v>3区</x:v>
      </x:c>
      <x:c r="B19" s="15" t="str">
        <x:v>开封万达</x:v>
      </x:c>
      <x:c r="C19" s="15" t="str">
        <x:v>A类</x:v>
      </x:c>
      <x:c r="D19" s="15" t="n">
        <x:v>13</x:v>
      </x:c>
      <x:c r="E19" s="16" t="n">
        <x:v>35182.2</x:v>
      </x:c>
      <x:c r="F19" s="16" t="n">
        <x:v>33316</x:v>
      </x:c>
      <x:c r="G19" s="17" t="n">
        <x:f>IFERROR(E19/F19,0)</x:f>
        <x:v>1.0560151278664904</x:v>
      </x:c>
      <x:c r="H19" s="16" t="n">
        <x:v>4400</x:v>
      </x:c>
      <x:c r="I19" s="17" t="n">
        <x:f>IFERROR(H19/E19,0)</x:f>
        <x:v>0.12506324220770731</x:v>
      </x:c>
      <x:c r="J19" s="16" t="n">
        <x:f>E19-H19</x:f>
        <x:v>30782.199999999997</x:v>
      </x:c>
      <x:c r="K19" s="17" t="n">
        <x:v>0.5344</x:v>
      </x:c>
      <x:c r="L19" s="15" t="n">
        <x:v>62</x:v>
      </x:c>
      <x:c r="M19" s="15" t="n">
        <x:v>37</x:v>
      </x:c>
      <x:c r="N19" s="15" t="n">
        <x:v>22</x:v>
      </x:c>
      <x:c r="O19" s="15" t="n">
        <x:v>3</x:v>
      </x:c>
      <x:c r="P19" s="17" t="n">
        <x:f>IFERROR(M19/L19,0)</x:f>
        <x:v>0.5967741935483871</x:v>
      </x:c>
      <x:c r="Q19" s="17" t="n">
        <x:f>IFERROR(N19/L19,0)</x:f>
        <x:v>0.3548387096774194</x:v>
      </x:c>
      <x:c r="R19" s="17" t="n">
        <x:f>IFERROR(O19/L19,0)</x:f>
        <x:v>0.04838709677419355</x:v>
      </x:c>
      <x:c r="S19" s="17" t="n">
        <x:f>Q19+R19</x:f>
        <x:v>0.40322580645161293</x:v>
      </x:c>
      <x:c r="T19" s="15" t="n">
        <x:v>8</x:v>
      </x:c>
      <x:c r="U19" s="15" t="n">
        <x:v>0</x:v>
      </x:c>
      <x:c r="V19" s="15" t="n">
        <x:v>4</x:v>
      </x:c>
      <x:c r="W19" s="15" t="n">
        <x:v>4</x:v>
      </x:c>
      <x:c r="X19" s="17" t="n">
        <x:f>IFERROR((N19+O19+V19+W19)/(L19+T19),0)</x:f>
        <x:v>0.4714285714285714</x:v>
      </x:c>
      <x:c r="Y19" s="16" t="n">
        <x:v>15749.2</x:v>
      </x:c>
      <x:c r="Z19" s="17" t="n">
        <x:f>IFERROR(Y19/E19,0)</x:f>
        <x:v>0.44764682140400547</x:v>
      </x:c>
      <x:c r="AA19" s="16" t="n">
        <x:v>5585</x:v>
      </x:c>
      <x:c r="AB19" s="17" t="n">
        <x:f>IFERROR(AA19/E19,0)</x:f>
        <x:v>0.15874504721137395</x:v>
      </x:c>
      <x:c r="AC19" s="15" t="n">
        <x:v>3</x:v>
      </x:c>
      <x:c r="AD19" s="18" t="str">
        <x:v>新签中大卡率未过线；续卡占比未过线；整体大卡率未过线</x:v>
      </x:c>
    </x:row>
    <x:row r="20">
      <x:c r="A20" s="14" t="str">
        <x:v>3区</x:v>
      </x:c>
      <x:c r="B20" s="15" t="str">
        <x:v>郑州二七万象城</x:v>
      </x:c>
      <x:c r="C20" s="15" t="str">
        <x:v>B类</x:v>
      </x:c>
      <x:c r="D20" s="15" t="n">
        <x:v>15</x:v>
      </x:c>
      <x:c r="E20" s="16" t="n">
        <x:v>23073</x:v>
      </x:c>
      <x:c r="F20" s="16" t="n">
        <x:v>32500</x:v>
      </x:c>
      <x:c r="G20" s="17" t="n">
        <x:f>IFERROR(E20/F20,0)</x:f>
        <x:v>0.7099384615384615</x:v>
      </x:c>
      <x:c r="H20" s="16" t="n">
        <x:v>2700</x:v>
      </x:c>
      <x:c r="I20" s="17" t="n">
        <x:f>IFERROR(H20/E20,0)</x:f>
        <x:v>0.11701989338187492</x:v>
      </x:c>
      <x:c r="J20" s="16" t="n">
        <x:f>E20-H20</x:f>
        <x:v>20373</x:v>
      </x:c>
      <x:c r="K20" s="17" t="n">
        <x:v>0.5165</x:v>
      </x:c>
      <x:c r="L20" s="15" t="n">
        <x:v>41</x:v>
      </x:c>
      <x:c r="M20" s="15" t="n">
        <x:v>21</x:v>
      </x:c>
      <x:c r="N20" s="15" t="n">
        <x:v>17</x:v>
      </x:c>
      <x:c r="O20" s="15" t="n">
        <x:v>3</x:v>
      </x:c>
      <x:c r="P20" s="17" t="n">
        <x:f>IFERROR(M20/L20,0)</x:f>
        <x:v>0.5121951219512195</x:v>
      </x:c>
      <x:c r="Q20" s="17" t="n">
        <x:f>IFERROR(N20/L20,0)</x:f>
        <x:v>0.4146341463414634</x:v>
      </x:c>
      <x:c r="R20" s="17" t="n">
        <x:f>IFERROR(O20/L20,0)</x:f>
        <x:v>0.07317073170731707</x:v>
      </x:c>
      <x:c r="S20" s="17" t="n">
        <x:f>Q20+R20</x:f>
        <x:v>0.4878048780487805</x:v>
      </x:c>
      <x:c r="T20" s="15" t="n">
        <x:v>6</x:v>
      </x:c>
      <x:c r="U20" s="15" t="n">
        <x:v>1</x:v>
      </x:c>
      <x:c r="V20" s="15" t="n">
        <x:v>3</x:v>
      </x:c>
      <x:c r="W20" s="15" t="n">
        <x:v>2</x:v>
      </x:c>
      <x:c r="X20" s="17" t="n">
        <x:f>IFERROR((N20+O20+V20+W20)/(L20+T20),0)</x:f>
        <x:v>0.5319148936170213</x:v>
      </x:c>
      <x:c r="Y20" s="16" t="n">
        <x:v>3498</x:v>
      </x:c>
      <x:c r="Z20" s="17" t="n">
        <x:f>IFERROR(Y20/E20,0)</x:f>
        <x:v>0.15160577298140684</x:v>
      </x:c>
      <x:c r="AA20" s="16" t="n">
        <x:v>192</x:v>
      </x:c>
      <x:c r="AB20" s="17" t="n">
        <x:f>IFERROR(AA20/E20,0)</x:f>
        <x:v>0.008321414640488883</x:v>
      </x:c>
      <x:c r="AC20" s="15" t="n">
        <x:v>6</x:v>
      </x:c>
      <x:c r="AD20" s="18" t="str">
        <x:v>完成率未过线；新签中大卡率未过线；续卡占比未过线；总引流占比未过线；扫楼占比未过线；整体大卡率未过线</x:v>
      </x:c>
    </x:row>
    <x:row r="21">
      <x:c r="A21" s="14" t="str">
        <x:v>3区</x:v>
      </x:c>
      <x:c r="B21" s="15" t="str">
        <x:v>武汉武昌万象城</x:v>
      </x:c>
      <x:c r="C21" s="15" t="str">
        <x:v>待补</x:v>
      </x:c>
      <x:c r="D21" s="15" t="str">
        <x:v>待补</x:v>
      </x:c>
      <x:c r="E21" s="16" t="n">
        <x:v>11480</x:v>
      </x:c>
      <x:c r="F21" s="16" t="n">
        <x:v>10855</x:v>
      </x:c>
      <x:c r="G21" s="17" t="n">
        <x:f>IFERROR(E21/F21,0)</x:f>
        <x:v>1.0575771533855367</x:v>
      </x:c>
      <x:c r="H21" s="16" t="n">
        <x:v>1000</x:v>
      </x:c>
      <x:c r="I21" s="17" t="n">
        <x:f>IFERROR(H21/E21,0)</x:f>
        <x:v>0.08710801393728224</x:v>
      </x:c>
      <x:c r="J21" s="16" t="n">
        <x:f>E21-H21</x:f>
        <x:v>10480</x:v>
      </x:c>
      <x:c r="K21" s="17" t="n">
        <x:v>0.6129</x:v>
      </x:c>
      <x:c r="L21" s="15" t="n">
        <x:v>18</x:v>
      </x:c>
      <x:c r="M21" s="15" t="n">
        <x:v>5</x:v>
      </x:c>
      <x:c r="N21" s="15" t="n">
        <x:v>9</x:v>
      </x:c>
      <x:c r="O21" s="15" t="n">
        <x:v>4</x:v>
      </x:c>
      <x:c r="P21" s="17" t="n">
        <x:f>IFERROR(M21/L21,0)</x:f>
        <x:v>0.2777777777777778</x:v>
      </x:c>
      <x:c r="Q21" s="17" t="n">
        <x:f>IFERROR(N21/L21,0)</x:f>
        <x:v>0.5</x:v>
      </x:c>
      <x:c r="R21" s="17" t="n">
        <x:f>IFERROR(O21/L21,0)</x:f>
        <x:v>0.2222222222222222</x:v>
      </x:c>
      <x:c r="S21" s="17" t="n">
        <x:f>Q21+R21</x:f>
        <x:v>0.7222222222222222</x:v>
      </x:c>
      <x:c r="T21" s="15" t="n">
        <x:v>1</x:v>
      </x:c>
      <x:c r="U21" s="15" t="n">
        <x:v>0</x:v>
      </x:c>
      <x:c r="V21" s="15" t="n">
        <x:v>0</x:v>
      </x:c>
      <x:c r="W21" s="15" t="n">
        <x:v>1</x:v>
      </x:c>
      <x:c r="X21" s="17" t="n">
        <x:f>IFERROR((N21+O21+V21+W21)/(L21+T21),0)</x:f>
        <x:v>0.7368421052631579</x:v>
      </x:c>
      <x:c r="Y21" s="16" t="n">
        <x:v>8100</x:v>
      </x:c>
      <x:c r="Z21" s="17" t="n">
        <x:f>IFERROR(Y21/E21,0)</x:f>
        <x:v>0.705574912891986</x:v>
      </x:c>
      <x:c r="AA21" s="16" t="n">
        <x:v>0</x:v>
      </x:c>
      <x:c r="AB21" s="17" t="n">
        <x:f>IFERROR(AA21/E21,0)</x:f>
        <x:v>0</x:v>
      </x:c>
      <x:c r="AC21" s="15" t="n">
        <x:v>2</x:v>
      </x:c>
      <x:c r="AD21" s="18" t="str">
        <x:v>续卡占比未过线；扫楼占比未过线</x:v>
      </x:c>
    </x:row>
    <x:row r="22">
      <x:c r="A22" s="19" t="str">
        <x:v>3区</x:v>
      </x:c>
      <x:c r="B22" s="20" t="str">
        <x:v>郑州美盛天街</x:v>
      </x:c>
      <x:c r="C22" s="20" t="str">
        <x:v>待补</x:v>
      </x:c>
      <x:c r="D22" s="20" t="str">
        <x:v>待补</x:v>
      </x:c>
      <x:c r="E22" s="21" t="n">
        <x:v>24386.01</x:v>
      </x:c>
      <x:c r="F22" s="21" t="n">
        <x:v>31095</x:v>
      </x:c>
      <x:c r="G22" s="22" t="n">
        <x:f>IFERROR(E22/F22,0)</x:f>
        <x:v>0.7842421611191509</x:v>
      </x:c>
      <x:c r="H22" s="21" t="n">
        <x:v>3687</x:v>
      </x:c>
      <x:c r="I22" s="22" t="n">
        <x:f>IFERROR(H22/E22,0)</x:f>
        <x:v>0.15119324563550987</x:v>
      </x:c>
      <x:c r="J22" s="21" t="n">
        <x:f>E22-H22</x:f>
        <x:v>20699.01</x:v>
      </x:c>
      <x:c r="K22" s="22" t="n">
        <x:v>0.4756</x:v>
      </x:c>
      <x:c r="L22" s="20" t="n">
        <x:v>32</x:v>
      </x:c>
      <x:c r="M22" s="20" t="n">
        <x:v>5</x:v>
      </x:c>
      <x:c r="N22" s="20" t="n">
        <x:v>20</x:v>
      </x:c>
      <x:c r="O22" s="20" t="n">
        <x:v>7</x:v>
      </x:c>
      <x:c r="P22" s="22" t="n">
        <x:f>IFERROR(M22/L22,0)</x:f>
        <x:v>0.15625</x:v>
      </x:c>
      <x:c r="Q22" s="22" t="n">
        <x:f>IFERROR(N22/L22,0)</x:f>
        <x:v>0.625</x:v>
      </x:c>
      <x:c r="R22" s="22" t="n">
        <x:f>IFERROR(O22/L22,0)</x:f>
        <x:v>0.21875</x:v>
      </x:c>
      <x:c r="S22" s="22" t="n">
        <x:f>Q22+R22</x:f>
        <x:v>0.84375</x:v>
      </x:c>
      <x:c r="T22" s="20" t="n">
        <x:v>7</x:v>
      </x:c>
      <x:c r="U22" s="20" t="n">
        <x:v>1</x:v>
      </x:c>
      <x:c r="V22" s="20" t="n">
        <x:v>1</x:v>
      </x:c>
      <x:c r="W22" s="20" t="n">
        <x:v>5</x:v>
      </x:c>
      <x:c r="X22" s="22" t="n">
        <x:f>IFERROR((N22+O22+V22+W22)/(L22+T22),0)</x:f>
        <x:v>0.8461538461538461</x:v>
      </x:c>
      <x:c r="Y22" s="21" t="n">
        <x:v>9052</x:v>
      </x:c>
      <x:c r="Z22" s="22" t="n">
        <x:f>IFERROR(Y22/E22,0)</x:f>
        <x:v>0.3711964359893234</x:v>
      </x:c>
      <x:c r="AA22" s="21" t="n">
        <x:v>5207</x:v>
      </x:c>
      <x:c r="AB22" s="22" t="n">
        <x:f>IFERROR(AA22/E22,0)</x:f>
        <x:v>0.2135240656425549</x:v>
      </x:c>
      <x:c r="AC22" s="20" t="n">
        <x:v>2</x:v>
      </x:c>
      <x:c r="AD22" s="23" t="str">
        <x:v>完成率未过线；续卡占比未过线</x:v>
      </x:c>
    </x:row>
  </x:sheetData>
  <x:pageMargins left="0.7" right="0.7" top="0.75" bottom="0.75" header="0.3" footer="0.3"/>
  <x:tableParts count="1">
    <x:tablePart xmlns:r="http://schemas.openxmlformats.org/officeDocument/2006/relationships" r:id="Rb5bd5236cf3447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1" t="str">
        <x:v>熊猫密室周报截图锁定｜2026/08/03-2026/08/09</x:v>
      </x:c>
      <x:c r="B1" s="32"/>
      <x:c r="C1" s="32"/>
      <x:c r="D1" s="32"/>
      <x:c r="E1" s="32"/>
      <x:c r="F1" s="32"/>
      <x:c r="G1" s="32"/>
      <x:c r="H1" s="33"/>
    </x:row>
    <x:row r="2">
      <x:c r="A2" s="34"/>
      <x:c r="B2" s="35"/>
      <x:c r="C2" s="35"/>
      <x:c r="D2" s="35"/>
      <x:c r="E2" s="35"/>
      <x:c r="F2" s="35"/>
      <x:c r="G2" s="35"/>
      <x:c r="H2" s="36"/>
    </x:row>
    <x:row r="3">
      <x:c r="A3" s="37" t="str">
        <x:v>层级</x:v>
      </x:c>
      <x:c r="B3" s="38" t="str">
        <x:v>总营收</x:v>
      </x:c>
      <x:c r="C3" s="38" t="str">
        <x:v>目标</x:v>
      </x:c>
      <x:c r="D3" s="38" t="str">
        <x:v>完成率</x:v>
      </x:c>
      <x:c r="E3" s="38" t="str">
        <x:v>新签营收</x:v>
      </x:c>
      <x:c r="F3" s="38" t="str">
        <x:v>续卡金额</x:v>
      </x:c>
      <x:c r="G3" s="38" t="str">
        <x:v>总引流金额</x:v>
      </x:c>
      <x:c r="H3" s="39" t="str">
        <x:v>扫楼金额</x:v>
      </x:c>
    </x:row>
    <x:row r="4">
      <x:c r="A4" s="34" t="str">
        <x:v>品牌</x:v>
      </x:c>
      <x:c r="B4" s="40" t="n">
        <x:v>436123.81</x:v>
      </x:c>
      <x:c r="C4" s="40" t="n">
        <x:v>579092</x:v>
      </x:c>
      <x:c r="D4" s="41" t="n">
        <x:f>IFERROR(B4/C4,0)</x:f>
        <x:v>0.7531166205024418</x:v>
      </x:c>
      <x:c r="E4" s="40" t="n">
        <x:f>B4-F4</x:f>
        <x:v>346333.76</x:v>
      </x:c>
      <x:c r="F4" s="40" t="n">
        <x:v>89790.05</x:v>
      </x:c>
      <x:c r="G4" s="40" t="n">
        <x:v>183730.4</x:v>
      </x:c>
      <x:c r="H4" s="42" t="n">
        <x:v>59992.05</x:v>
      </x:c>
    </x:row>
    <x:row r="5">
      <x:c r="A5" s="34" t="str">
        <x:v>1区</x:v>
      </x:c>
      <x:c r="B5" s="40" t="n">
        <x:v>124351.15</x:v>
      </x:c>
      <x:c r="C5" s="40" t="n">
        <x:v>164397</x:v>
      </x:c>
      <x:c r="D5" s="41" t="n">
        <x:f>IFERROR(B5/C5,0)</x:f>
        <x:v>0.7564076595071686</x:v>
      </x:c>
      <x:c r="E5" s="40" t="n">
        <x:f>B5-F5</x:f>
        <x:v>95650.09999999999</x:v>
      </x:c>
      <x:c r="F5" s="40" t="n">
        <x:v>28701.05</x:v>
      </x:c>
      <x:c r="G5" s="40" t="n">
        <x:v>40931.25</x:v>
      </x:c>
      <x:c r="H5" s="42" t="n">
        <x:v>15419.05</x:v>
      </x:c>
    </x:row>
    <x:row r="6">
      <x:c r="A6" s="34" t="str">
        <x:v>2区</x:v>
      </x:c>
      <x:c r="B6" s="40" t="n">
        <x:v>153931.9</x:v>
      </x:c>
      <x:c r="C6" s="40" t="n">
        <x:v>197599</x:v>
      </x:c>
      <x:c r="D6" s="41" t="n">
        <x:f>IFERROR(B6/C6,0)</x:f>
        <x:v>0.7790115334591774</x:v>
      </x:c>
      <x:c r="E6" s="40" t="n">
        <x:f>B6-F6</x:f>
        <x:v>111667.9</x:v>
      </x:c>
      <x:c r="F6" s="40" t="n">
        <x:v>42264</x:v>
      </x:c>
      <x:c r="G6" s="40" t="n">
        <x:v>72803.90000000001</x:v>
      </x:c>
      <x:c r="H6" s="42" t="n">
        <x:v>27026</x:v>
      </x:c>
    </x:row>
    <x:row r="7">
      <x:c r="A7" s="34" t="str">
        <x:v>3区</x:v>
      </x:c>
      <x:c r="B7" s="40" t="n">
        <x:v>157840.76</x:v>
      </x:c>
      <x:c r="C7" s="40" t="n">
        <x:v>217096</x:v>
      </x:c>
      <x:c r="D7" s="41" t="n">
        <x:f>IFERROR(B7/C7,0)</x:f>
        <x:v>0.727055127685448</x:v>
      </x:c>
      <x:c r="E7" s="40" t="n">
        <x:f>B7-F7</x:f>
        <x:v>139015.76</x:v>
      </x:c>
      <x:c r="F7" s="40" t="n">
        <x:v>18825</x:v>
      </x:c>
      <x:c r="G7" s="40" t="n">
        <x:v>69995.25</x:v>
      </x:c>
      <x:c r="H7" s="42" t="n">
        <x:v>17547</x:v>
      </x:c>
    </x:row>
    <x:row r="8">
      <x:c r="A8" s="34"/>
      <x:c r="B8" s="35"/>
      <x:c r="C8" s="35"/>
      <x:c r="D8" s="35"/>
      <x:c r="E8" s="35"/>
      <x:c r="F8" s="35"/>
      <x:c r="G8" s="35"/>
      <x:c r="H8" s="36"/>
    </x:row>
    <x:row r="9">
      <x:c r="A9" s="43" t="str">
        <x:v>校验说明：本周总营收按21家正式门店明细汇总；截图顶部总收入与门店明细相差¥116，疑似测试门店金额，已排除。19家老店新客数已按飞书补齐，两家新店新客数待拆分；老客数缺少同口径原始字段，保留待核。</x:v>
      </x:c>
      <x:c r="B9" s="44"/>
      <x:c r="C9" s="44"/>
      <x:c r="D9" s="44"/>
      <x:c r="E9" s="44"/>
      <x:c r="F9" s="44"/>
      <x:c r="G9" s="44"/>
      <x:c r="H9" s="45"/>
    </x:row>
  </x:sheetData>
  <x:mergeCells>
    <x:mergeCell ref="A1:H1"/>
    <x:mergeCell ref="A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</x:cols>
  <x:sheetData>
    <x:row r="1" ht="28" customHeight="1">
      <x:c r="A1" s="11" t="str">
        <x:v>本周排名</x:v>
      </x:c>
      <x:c r="B1" s="12" t="str">
        <x:v>区域</x:v>
      </x:c>
      <x:c r="C1" s="12" t="str">
        <x:v>门店</x:v>
      </x:c>
      <x:c r="D1" s="12" t="str">
        <x:v>员工</x:v>
      </x:c>
      <x:c r="E1" s="12" t="str">
        <x:v>本周总金额</x:v>
      </x:c>
      <x:c r="F1" s="12" t="str">
        <x:v>上周总金额</x:v>
      </x:c>
      <x:c r="G1" s="12" t="str">
        <x:v>金额增减</x:v>
      </x:c>
      <x:c r="H1" s="12" t="str">
        <x:v>完成率</x:v>
      </x:c>
      <x:c r="I1" s="12" t="str">
        <x:v>新签办卡率</x:v>
      </x:c>
      <x:c r="J1" s="12" t="str">
        <x:v>新签卡数</x:v>
      </x:c>
      <x:c r="K1" s="12" t="str">
        <x:v>新签金额</x:v>
      </x:c>
      <x:c r="L1" s="13" t="str">
        <x:v>续卡金额</x:v>
      </x:c>
    </x:row>
    <x:row r="2">
      <x:c r="A2" s="14" t="n">
        <x:v>1</x:v>
      </x:c>
      <x:c r="B2" s="15" t="str">
        <x:v>3区</x:v>
      </x:c>
      <x:c r="C2" s="15" t="str">
        <x:v>开封万达</x:v>
      </x:c>
      <x:c r="D2" s="15" t="str">
        <x:v>李紫琪</x:v>
      </x:c>
      <x:c r="E2" s="16" t="n">
        <x:v>18454</x:v>
      </x:c>
      <x:c r="F2" s="16" t="n">
        <x:v>10680</x:v>
      </x:c>
      <x:c r="G2" s="16" t="n">
        <x:f>IFERROR(E2-F2,0)</x:f>
        <x:v>7774</x:v>
      </x:c>
      <x:c r="H2" s="17" t="n">
        <x:v>1.4417</x:v>
      </x:c>
      <x:c r="I2" s="17" t="n">
        <x:v>0.5667</x:v>
      </x:c>
      <x:c r="J2" s="15" t="n">
        <x:v>34</x:v>
      </x:c>
      <x:c r="K2" s="16" t="n">
        <x:v>13132</x:v>
      </x:c>
      <x:c r="L2" s="46" t="n">
        <x:v>2400</x:v>
      </x:c>
    </x:row>
    <x:row r="3">
      <x:c r="A3" s="14" t="n">
        <x:v>2</x:v>
      </x:c>
      <x:c r="B3" s="15" t="str">
        <x:v>2区</x:v>
      </x:c>
      <x:c r="C3" s="15" t="str">
        <x:v>焦作万达</x:v>
      </x:c>
      <x:c r="D3" s="15" t="str">
        <x:v>朱笛</x:v>
      </x:c>
      <x:c r="E3" s="16" t="n">
        <x:v>16580</x:v>
      </x:c>
      <x:c r="F3" s="16" t="n">
        <x:v>15286.6</x:v>
      </x:c>
      <x:c r="G3" s="16" t="n">
        <x:f>IFERROR(E3-F3,0)</x:f>
        <x:v>1293.3999999999996</x:v>
      </x:c>
      <x:c r="H3" s="17" t="n">
        <x:v>1.0253</x:v>
      </x:c>
      <x:c r="I3" s="17" t="n">
        <x:v>0.7105</x:v>
      </x:c>
      <x:c r="J3" s="15" t="n">
        <x:v>27</x:v>
      </x:c>
      <x:c r="K3" s="16" t="n">
        <x:v>10658</x:v>
      </x:c>
      <x:c r="L3" s="46" t="n">
        <x:v>5000</x:v>
      </x:c>
    </x:row>
    <x:row r="4">
      <x:c r="A4" s="14" t="n">
        <x:v>3</x:v>
      </x:c>
      <x:c r="B4" s="15" t="str">
        <x:v>3区</x:v>
      </x:c>
      <x:c r="C4" s="15" t="str">
        <x:v>郑州美盛天街</x:v>
      </x:c>
      <x:c r="D4" s="15" t="str">
        <x:v>薛飘飘</x:v>
      </x:c>
      <x:c r="E4" s="16" t="n">
        <x:v>15583.01</x:v>
      </x:c>
      <x:c r="F4" s="16" t="n">
        <x:v>4174</x:v>
      </x:c>
      <x:c r="G4" s="16" t="n">
        <x:f>IFERROR(E4-F4,0)</x:f>
        <x:v>11409.01</x:v>
      </x:c>
      <x:c r="H4" s="17" t="n">
        <x:v>0.6842</x:v>
      </x:c>
      <x:c r="I4" s="17" t="n">
        <x:v>0.4878</x:v>
      </x:c>
      <x:c r="J4" s="15" t="n">
        <x:v>20</x:v>
      </x:c>
      <x:c r="K4" s="16" t="n">
        <x:v>10357</x:v>
      </x:c>
      <x:c r="L4" s="46" t="n">
        <x:v>3287</x:v>
      </x:c>
    </x:row>
    <x:row r="5">
      <x:c r="A5" s="14" t="n">
        <x:v>4</x:v>
      </x:c>
      <x:c r="B5" s="15" t="str">
        <x:v>1区</x:v>
      </x:c>
      <x:c r="C5" s="15" t="str">
        <x:v>商丘万达</x:v>
      </x:c>
      <x:c r="D5" s="15" t="str">
        <x:v>谢航宇</x:v>
      </x:c>
      <x:c r="E5" s="16" t="n">
        <x:v>14700.1</x:v>
      </x:c>
      <x:c r="F5" s="16" t="n">
        <x:v>9062.1</x:v>
      </x:c>
      <x:c r="G5" s="16" t="n">
        <x:f>IFERROR(E5-F5,0)</x:f>
        <x:v>5638</x:v>
      </x:c>
      <x:c r="H5" s="17" t="n">
        <x:v>1.1053</x:v>
      </x:c>
      <x:c r="I5" s="17" t="n">
        <x:v>0.6452</x:v>
      </x:c>
      <x:c r="J5" s="15" t="n">
        <x:v>20</x:v>
      </x:c>
      <x:c r="K5" s="16" t="n">
        <x:v>7747.1</x:v>
      </x:c>
      <x:c r="L5" s="46" t="n">
        <x:v>6035</x:v>
      </x:c>
    </x:row>
    <x:row r="6">
      <x:c r="A6" s="14" t="n">
        <x:v>5</x:v>
      </x:c>
      <x:c r="B6" s="15" t="str">
        <x:v>1区</x:v>
      </x:c>
      <x:c r="C6" s="15" t="str">
        <x:v>襄阳高新万达</x:v>
      </x:c>
      <x:c r="D6" s="15" t="str">
        <x:v>倪书馨</x:v>
      </x:c>
      <x:c r="E6" s="16" t="n">
        <x:v>14469.2</x:v>
      </x:c>
      <x:c r="F6" s="16" t="n">
        <x:v>12392</x:v>
      </x:c>
      <x:c r="G6" s="16" t="n">
        <x:f>IFERROR(E6-F6,0)</x:f>
        <x:v>2077.2000000000007</x:v>
      </x:c>
      <x:c r="H6" s="17" t="n">
        <x:v>0.9763</x:v>
      </x:c>
      <x:c r="I6" s="17" t="n">
        <x:v>0.6</x:v>
      </x:c>
      <x:c r="J6" s="15" t="n">
        <x:v>30</x:v>
      </x:c>
      <x:c r="K6" s="16" t="n">
        <x:v>11338</x:v>
      </x:c>
      <x:c r="L6" s="46" t="n">
        <x:v>999</x:v>
      </x:c>
    </x:row>
    <x:row r="7">
      <x:c r="A7" s="14" t="n">
        <x:v>6</x:v>
      </x:c>
      <x:c r="B7" s="15" t="str">
        <x:v>3区</x:v>
      </x:c>
      <x:c r="C7" s="15" t="str">
        <x:v>开封万达</x:v>
      </x:c>
      <x:c r="D7" s="15" t="str">
        <x:v>易梦婷</x:v>
      </x:c>
      <x:c r="E7" s="16" t="n">
        <x:v>14255</x:v>
      </x:c>
      <x:c r="F7" s="16" t="n">
        <x:v>12640.6</x:v>
      </x:c>
      <x:c r="G7" s="16" t="n">
        <x:f>IFERROR(E7-F7,0)</x:f>
        <x:v>1614.3999999999996</x:v>
      </x:c>
      <x:c r="H7" s="17" t="n">
        <x:v>1.1137000000000001</x:v>
      </x:c>
      <x:c r="I7" s="17" t="n">
        <x:v>0.4808</x:v>
      </x:c>
      <x:c r="J7" s="15" t="n">
        <x:v>25</x:v>
      </x:c>
      <x:c r="K7" s="16" t="n">
        <x:v>10249</x:v>
      </x:c>
      <x:c r="L7" s="46" t="n">
        <x:v>1400</x:v>
      </x:c>
    </x:row>
    <x:row r="8">
      <x:c r="A8" s="14" t="n">
        <x:v>7</x:v>
      </x:c>
      <x:c r="B8" s="15" t="str">
        <x:v>2区</x:v>
      </x:c>
      <x:c r="C8" s="15" t="str">
        <x:v>洛阳泉舜</x:v>
      </x:c>
      <x:c r="D8" s="15" t="str">
        <x:v>关旭闳</x:v>
      </x:c>
      <x:c r="E8" s="16" t="n">
        <x:v>13806</x:v>
      </x:c>
      <x:c r="F8" s="16"/>
      <x:c r="G8" s="16" t="n">
        <x:f>IFERROR(E8-F8,0)</x:f>
        <x:v>13806</x:v>
      </x:c>
      <x:c r="H8" s="17" t="n">
        <x:v>0.9861</x:v>
      </x:c>
      <x:c r="I8" s="17" t="n">
        <x:v>0.4359</x:v>
      </x:c>
      <x:c r="J8" s="15" t="n">
        <x:v>17</x:v>
      </x:c>
      <x:c r="K8" s="16" t="n">
        <x:v>7039</x:v>
      </x:c>
      <x:c r="L8" s="46" t="n">
        <x:v>4300</x:v>
      </x:c>
    </x:row>
    <x:row r="9">
      <x:c r="A9" s="14" t="n">
        <x:v>8</x:v>
      </x:c>
      <x:c r="B9" s="15" t="str">
        <x:v>1区</x:v>
      </x:c>
      <x:c r="C9" s="15" t="str">
        <x:v>襄阳高新万达</x:v>
      </x:c>
      <x:c r="D9" s="15" t="str">
        <x:v>吴嘉丽</x:v>
      </x:c>
      <x:c r="E9" s="16" t="n">
        <x:v>13073</x:v>
      </x:c>
      <x:c r="F9" s="16" t="n">
        <x:v>14106.2</x:v>
      </x:c>
      <x:c r="G9" s="16" t="n">
        <x:f>IFERROR(E9-F9,0)</x:f>
        <x:v>-1033.2000000000007</x:v>
      </x:c>
      <x:c r="H9" s="17" t="n">
        <x:v>0.8820999999999999</x:v>
      </x:c>
      <x:c r="I9" s="17" t="n">
        <x:v>0.6415000000000001</x:v>
      </x:c>
      <x:c r="J9" s="15" t="n">
        <x:v>34</x:v>
      </x:c>
      <x:c r="K9" s="16" t="n">
        <x:v>9862</x:v>
      </x:c>
      <x:c r="L9" s="46" t="n">
        <x:v>1334</x:v>
      </x:c>
    </x:row>
    <x:row r="10">
      <x:c r="A10" s="14" t="n">
        <x:v>9</x:v>
      </x:c>
      <x:c r="B10" s="15" t="str">
        <x:v>2区</x:v>
      </x:c>
      <x:c r="C10" s="15" t="str">
        <x:v>焦作万达</x:v>
      </x:c>
      <x:c r="D10" s="15" t="str">
        <x:v>王梓恬</x:v>
      </x:c>
      <x:c r="E10" s="16" t="n">
        <x:v>12372.4</x:v>
      </x:c>
      <x:c r="F10" s="16" t="n">
        <x:v>10165</x:v>
      </x:c>
      <x:c r="G10" s="16" t="n">
        <x:f>IFERROR(E10-F10,0)</x:f>
        <x:v>2207.3999999999996</x:v>
      </x:c>
      <x:c r="H10" s="17" t="n">
        <x:v>0.8745</x:v>
      </x:c>
      <x:c r="I10" s="17" t="n">
        <x:v>0.5111</x:v>
      </x:c>
      <x:c r="J10" s="15" t="n">
        <x:v>23</x:v>
      </x:c>
      <x:c r="K10" s="16" t="n">
        <x:v>8311</x:v>
      </x:c>
      <x:c r="L10" s="46" t="n">
        <x:v>2000</x:v>
      </x:c>
    </x:row>
    <x:row r="11">
      <x:c r="A11" s="14" t="n">
        <x:v>10</x:v>
      </x:c>
      <x:c r="B11" s="15" t="str">
        <x:v>1区</x:v>
      </x:c>
      <x:c r="C11" s="15" t="str">
        <x:v>信阳万达</x:v>
      </x:c>
      <x:c r="D11" s="15" t="str">
        <x:v>李立</x:v>
      </x:c>
      <x:c r="E11" s="16" t="n">
        <x:v>12111.5</x:v>
      </x:c>
      <x:c r="F11" s="16" t="n">
        <x:v>8220.7</x:v>
      </x:c>
      <x:c r="G11" s="16" t="n">
        <x:f>IFERROR(E11-F11,0)</x:f>
        <x:v>3890.7999999999993</x:v>
      </x:c>
      <x:c r="H11" s="17" t="n">
        <x:v>1.0093</x:v>
      </x:c>
      <x:c r="I11" s="17" t="n">
        <x:v>0.7082999999999999</x:v>
      </x:c>
      <x:c r="J11" s="15" t="n">
        <x:v>17</x:v>
      </x:c>
      <x:c r="K11" s="16" t="n">
        <x:v>6279.25</x:v>
      </x:c>
      <x:c r="L11" s="46" t="n">
        <x:v>4994.05</x:v>
      </x:c>
    </x:row>
    <x:row r="12">
      <x:c r="A12" s="14" t="n">
        <x:v>11</x:v>
      </x:c>
      <x:c r="B12" s="15" t="str">
        <x:v>2区</x:v>
      </x:c>
      <x:c r="C12" s="15" t="str">
        <x:v>洛阳泉舜</x:v>
      </x:c>
      <x:c r="D12" s="15" t="str">
        <x:v>王佳琳</x:v>
      </x:c>
      <x:c r="E12" s="16" t="n">
        <x:v>11872.2</x:v>
      </x:c>
      <x:c r="F12" s="16" t="n">
        <x:v>12048</x:v>
      </x:c>
      <x:c r="G12" s="16" t="n">
        <x:f>IFERROR(E12-F12,0)</x:f>
        <x:v>-175.79999999999927</x:v>
      </x:c>
      <x:c r="H12" s="17" t="n">
        <x:v>0.7915000000000001</x:v>
      </x:c>
      <x:c r="I12" s="17" t="n">
        <x:v>0.25</x:v>
      </x:c>
      <x:c r="J12" s="15" t="n">
        <x:v>7</x:v>
      </x:c>
      <x:c r="K12" s="16" t="n">
        <x:v>3585</x:v>
      </x:c>
      <x:c r="L12" s="46" t="n">
        <x:v>6200</x:v>
      </x:c>
    </x:row>
    <x:row r="13">
      <x:c r="A13" s="14" t="n">
        <x:v>12</x:v>
      </x:c>
      <x:c r="B13" s="15" t="str">
        <x:v>2区</x:v>
      </x:c>
      <x:c r="C13" s="15" t="str">
        <x:v>洛阳中州万达</x:v>
      </x:c>
      <x:c r="D13" s="15" t="str">
        <x:v>党燕燕</x:v>
      </x:c>
      <x:c r="E13" s="16" t="n">
        <x:v>11860</x:v>
      </x:c>
      <x:c r="F13" s="16"/>
      <x:c r="G13" s="16" t="n">
        <x:f>IFERROR(E13-F13,0)</x:f>
        <x:v>11860</x:v>
      </x:c>
      <x:c r="H13" s="17" t="n">
        <x:v>1.186</x:v>
      </x:c>
      <x:c r="I13" s="17" t="n">
        <x:v>0.5640999999999999</x:v>
      </x:c>
      <x:c r="J13" s="15" t="n">
        <x:v>22</x:v>
      </x:c>
      <x:c r="K13" s="16" t="n">
        <x:v>6979</x:v>
      </x:c>
      <x:c r="L13" s="46" t="n">
        <x:v>3185</x:v>
      </x:c>
    </x:row>
    <x:row r="14">
      <x:c r="A14" s="14" t="n">
        <x:v>13</x:v>
      </x:c>
      <x:c r="B14" s="15" t="str">
        <x:v>3区</x:v>
      </x:c>
      <x:c r="C14" s="15" t="str">
        <x:v>郑州二七万象城</x:v>
      </x:c>
      <x:c r="D14" s="15" t="str">
        <x:v>橙子</x:v>
      </x:c>
      <x:c r="E14" s="16" t="n">
        <x:v>11777</x:v>
      </x:c>
      <x:c r="F14" s="16" t="n">
        <x:v>13084.9</x:v>
      </x:c>
      <x:c r="G14" s="16" t="n">
        <x:f>IFERROR(E14-F14,0)</x:f>
        <x:v>-1307.8999999999996</x:v>
      </x:c>
      <x:c r="H14" s="17" t="n">
        <x:v>0.9273</x:v>
      </x:c>
      <x:c r="I14" s="17" t="n">
        <x:v>0.5</x:v>
      </x:c>
      <x:c r="J14" s="15" t="n">
        <x:v>21</x:v>
      </x:c>
      <x:c r="K14" s="16" t="n">
        <x:v>7121</x:v>
      </x:c>
      <x:c r="L14" s="46" t="n">
        <x:v>2700</x:v>
      </x:c>
    </x:row>
    <x:row r="15">
      <x:c r="A15" s="14" t="n">
        <x:v>14</x:v>
      </x:c>
      <x:c r="B15" s="15" t="str">
        <x:v>3区</x:v>
      </x:c>
      <x:c r="C15" s="15" t="str">
        <x:v>武汉荟聚</x:v>
      </x:c>
      <x:c r="D15" s="15" t="str">
        <x:v>李苗壮</x:v>
      </x:c>
      <x:c r="E15" s="16" t="n">
        <x:v>11526.75</x:v>
      </x:c>
      <x:c r="F15" s="16"/>
      <x:c r="G15" s="16" t="n">
        <x:f>IFERROR(E15-F15,0)</x:f>
        <x:v>11526.75</x:v>
      </x:c>
      <x:c r="H15" s="17" t="n">
        <x:v>0.7736</x:v>
      </x:c>
      <x:c r="I15" s="17" t="n">
        <x:v>0.4545</x:v>
      </x:c>
      <x:c r="J15" s="15" t="n">
        <x:v>20</x:v>
      </x:c>
      <x:c r="K15" s="16" t="n">
        <x:v>8071</x:v>
      </x:c>
      <x:c r="L15" s="46" t="n">
        <x:v>600</x:v>
      </x:c>
    </x:row>
    <x:row r="16">
      <x:c r="A16" s="14" t="n">
        <x:v>15</x:v>
      </x:c>
      <x:c r="B16" s="15" t="str">
        <x:v>3区</x:v>
      </x:c>
      <x:c r="C16" s="15" t="str">
        <x:v>武汉荟聚</x:v>
      </x:c>
      <x:c r="D16" s="15" t="str">
        <x:v>周坤琪</x:v>
      </x:c>
      <x:c r="E16" s="16" t="n">
        <x:v>11207.05</x:v>
      </x:c>
      <x:c r="F16" s="16"/>
      <x:c r="G16" s="16" t="n">
        <x:f>IFERROR(E16-F16,0)</x:f>
        <x:v>11207.05</x:v>
      </x:c>
      <x:c r="H16" s="17" t="n">
        <x:v>1.4009</x:v>
      </x:c>
      <x:c r="I16" s="17" t="n">
        <x:v>0.5</x:v>
      </x:c>
      <x:c r="J16" s="15" t="n">
        <x:v>18</x:v>
      </x:c>
      <x:c r="K16" s="16" t="n">
        <x:v>7667</x:v>
      </x:c>
      <x:c r="L16" s="46" t="n">
        <x:v>0</x:v>
      </x:c>
    </x:row>
    <x:row r="17">
      <x:c r="A17" s="14" t="n">
        <x:v>16</x:v>
      </x:c>
      <x:c r="B17" s="15" t="str">
        <x:v>3区</x:v>
      </x:c>
      <x:c r="C17" s="15" t="str">
        <x:v>武汉荟聚</x:v>
      </x:c>
      <x:c r="D17" s="15" t="str">
        <x:v>邵娜娜</x:v>
      </x:c>
      <x:c r="E17" s="16" t="n">
        <x:v>10736.55</x:v>
      </x:c>
      <x:c r="F17" s="16" t="n">
        <x:v>6784.95</x:v>
      </x:c>
      <x:c r="G17" s="16" t="n">
        <x:f>IFERROR(E17-F17,0)</x:f>
        <x:v>3951.5999999999995</x:v>
      </x:c>
      <x:c r="H17" s="17" t="n">
        <x:v>0.6547</x:v>
      </x:c>
      <x:c r="I17" s="17" t="n">
        <x:v>0.5806</x:v>
      </x:c>
      <x:c r="J17" s="15" t="n">
        <x:v>18</x:v>
      </x:c>
      <x:c r="K17" s="16" t="n">
        <x:v>7386</x:v>
      </x:c>
      <x:c r="L17" s="46" t="n">
        <x:v>1000</x:v>
      </x:c>
    </x:row>
    <x:row r="18">
      <x:c r="A18" s="14" t="n">
        <x:v>17</x:v>
      </x:c>
      <x:c r="B18" s="15" t="str">
        <x:v>1区</x:v>
      </x:c>
      <x:c r="C18" s="15" t="str">
        <x:v>许昌魏都万达</x:v>
      </x:c>
      <x:c r="D18" s="15" t="str">
        <x:v>吉祥</x:v>
      </x:c>
      <x:c r="E18" s="16" t="n">
        <x:v>10680</x:v>
      </x:c>
      <x:c r="F18" s="16" t="n">
        <x:v>11110</x:v>
      </x:c>
      <x:c r="G18" s="16" t="n">
        <x:f>IFERROR(E18-F18,0)</x:f>
        <x:v>-430</x:v>
      </x:c>
      <x:c r="H18" s="17" t="n">
        <x:v>0.8042</x:v>
      </x:c>
      <x:c r="I18" s="17" t="n">
        <x:v>0.56</x:v>
      </x:c>
      <x:c r="J18" s="15" t="n">
        <x:v>14</x:v>
      </x:c>
      <x:c r="K18" s="16" t="n">
        <x:v>5670</x:v>
      </x:c>
      <x:c r="L18" s="46" t="n">
        <x:v>4000</x:v>
      </x:c>
    </x:row>
    <x:row r="19">
      <x:c r="A19" s="14" t="n">
        <x:v>18</x:v>
      </x:c>
      <x:c r="B19" s="15" t="str">
        <x:v>2区</x:v>
      </x:c>
      <x:c r="C19" s="15" t="str">
        <x:v>洛阳中州万达</x:v>
      </x:c>
      <x:c r="D19" s="15" t="str">
        <x:v>洋洋</x:v>
      </x:c>
      <x:c r="E19" s="16" t="n">
        <x:v>9113</x:v>
      </x:c>
      <x:c r="F19" s="16"/>
      <x:c r="G19" s="16" t="n">
        <x:f>IFERROR(E19-F19,0)</x:f>
        <x:v>9113</x:v>
      </x:c>
      <x:c r="H19" s="17" t="n">
        <x:v>1.3019</x:v>
      </x:c>
      <x:c r="I19" s="17" t="n">
        <x:v>0.6552</x:v>
      </x:c>
      <x:c r="J19" s="15" t="n">
        <x:v>19</x:v>
      </x:c>
      <x:c r="K19" s="16" t="n">
        <x:v>6072</x:v>
      </x:c>
      <x:c r="L19" s="46" t="n">
        <x:v>2200</x:v>
      </x:c>
    </x:row>
    <x:row r="20">
      <x:c r="A20" s="14" t="n">
        <x:v>19</x:v>
      </x:c>
      <x:c r="B20" s="15" t="str">
        <x:v>1区</x:v>
      </x:c>
      <x:c r="C20" s="15" t="str">
        <x:v>南阳万达</x:v>
      </x:c>
      <x:c r="D20" s="15" t="str">
        <x:v>李想</x:v>
      </x:c>
      <x:c r="E20" s="16" t="n">
        <x:v>9070</x:v>
      </x:c>
      <x:c r="F20" s="16" t="n">
        <x:v>12510</x:v>
      </x:c>
      <x:c r="G20" s="16" t="n">
        <x:f>IFERROR(E20-F20,0)</x:f>
        <x:v>-3440</x:v>
      </x:c>
      <x:c r="H20" s="17" t="n">
        <x:v>0.7315</x:v>
      </x:c>
      <x:c r="I20" s="17" t="n">
        <x:v>0.7895</x:v>
      </x:c>
      <x:c r="J20" s="15" t="n">
        <x:v>15</x:v>
      </x:c>
      <x:c r="K20" s="16" t="n">
        <x:v>6650</x:v>
      </x:c>
      <x:c r="L20" s="46" t="n">
        <x:v>1846</x:v>
      </x:c>
    </x:row>
    <x:row r="21">
      <x:c r="A21" s="14" t="n">
        <x:v>20</x:v>
      </x:c>
      <x:c r="B21" s="15" t="str">
        <x:v>2区</x:v>
      </x:c>
      <x:c r="C21" s="15" t="str">
        <x:v>洛阳泉舜</x:v>
      </x:c>
      <x:c r="D21" s="15" t="str">
        <x:v>王若涵</x:v>
      </x:c>
      <x:c r="E21" s="16" t="n">
        <x:v>8711</x:v>
      </x:c>
      <x:c r="F21" s="16"/>
      <x:c r="G21" s="16" t="n">
        <x:f>IFERROR(E21-F21,0)</x:f>
        <x:v>8711</x:v>
      </x:c>
      <x:c r="H21" s="17" t="n">
        <x:v>0.7918999999999999</x:v>
      </x:c>
      <x:c r="I21" s="17" t="n">
        <x:v>0.8667</x:v>
      </x:c>
      <x:c r="J21" s="15" t="n">
        <x:v>13</x:v>
      </x:c>
      <x:c r="K21" s="16" t="n">
        <x:v>4783</x:v>
      </x:c>
      <x:c r="L21" s="46" t="n">
        <x:v>3493</x:v>
      </x:c>
    </x:row>
    <x:row r="22">
      <x:c r="A22" s="14" t="n">
        <x:v>21</x:v>
      </x:c>
      <x:c r="B22" s="15" t="str">
        <x:v>1区</x:v>
      </x:c>
      <x:c r="C22" s="15" t="str">
        <x:v>南阳吾悦</x:v>
      </x:c>
      <x:c r="D22" s="15" t="str">
        <x:v>樊鑫</x:v>
      </x:c>
      <x:c r="E22" s="16" t="n">
        <x:v>8556</x:v>
      </x:c>
      <x:c r="F22" s="16" t="n">
        <x:v>10590</x:v>
      </x:c>
      <x:c r="G22" s="16" t="n">
        <x:f>IFERROR(E22-F22,0)</x:f>
        <x:v>-2034</x:v>
      </x:c>
      <x:c r="H22" s="17" t="n">
        <x:v>0.6845</x:v>
      </x:c>
      <x:c r="I22" s="17" t="n">
        <x:v>0.5714</x:v>
      </x:c>
      <x:c r="J22" s="15" t="n">
        <x:v>16</x:v>
      </x:c>
      <x:c r="K22" s="16" t="n">
        <x:v>6469</x:v>
      </x:c>
      <x:c r="L22" s="46" t="n">
        <x:v>700</x:v>
      </x:c>
    </x:row>
    <x:row r="23">
      <x:c r="A23" s="14" t="n">
        <x:v>22</x:v>
      </x:c>
      <x:c r="B23" s="15" t="str">
        <x:v>3区</x:v>
      </x:c>
      <x:c r="C23" s="15" t="str">
        <x:v>郑州二七万象城</x:v>
      </x:c>
      <x:c r="D23" s="15" t="str">
        <x:v>夏佳静</x:v>
      </x:c>
      <x:c r="E23" s="16" t="n">
        <x:v>8397</x:v>
      </x:c>
      <x:c r="F23" s="16" t="n">
        <x:v>10041</x:v>
      </x:c>
      <x:c r="G23" s="16" t="n">
        <x:f>IFERROR(E23-F23,0)</x:f>
        <x:v>-1644</x:v>
      </x:c>
      <x:c r="H23" s="17" t="n">
        <x:v>0.6940000000000001</x:v>
      </x:c>
      <x:c r="I23" s="17" t="n">
        <x:v>0.4375</x:v>
      </x:c>
      <x:c r="J23" s="15" t="n">
        <x:v>14</x:v>
      </x:c>
      <x:c r="K23" s="16" t="n">
        <x:v>6634</x:v>
      </x:c>
      <x:c r="L23" s="46" t="n">
        <x:v>0</x:v>
      </x:c>
    </x:row>
    <x:row r="24">
      <x:c r="A24" s="14" t="n">
        <x:v>23</x:v>
      </x:c>
      <x:c r="B24" s="15" t="str">
        <x:v>1区</x:v>
      </x:c>
      <x:c r="C24" s="15" t="str">
        <x:v>许昌魏都万达</x:v>
      </x:c>
      <x:c r="D24" s="15" t="str">
        <x:v>孙灼柱</x:v>
      </x:c>
      <x:c r="E24" s="16" t="n">
        <x:v>7654.2</x:v>
      </x:c>
      <x:c r="F24" s="16"/>
      <x:c r="G24" s="16" t="n">
        <x:f>IFERROR(E24-F24,0)</x:f>
        <x:v>7654.2</x:v>
      </x:c>
      <x:c r="H24" s="17" t="n">
        <x:v>0.6968000000000001</x:v>
      </x:c>
      <x:c r="I24" s="17" t="n">
        <x:v>0.5263</x:v>
      </x:c>
      <x:c r="J24" s="15" t="n">
        <x:v>10</x:v>
      </x:c>
      <x:c r="K24" s="16" t="n">
        <x:v>4069</x:v>
      </x:c>
      <x:c r="L24" s="46" t="n">
        <x:v>2800</x:v>
      </x:c>
    </x:row>
    <x:row r="25">
      <x:c r="A25" s="14" t="n">
        <x:v>24</x:v>
      </x:c>
      <x:c r="B25" s="15" t="str">
        <x:v>1区</x:v>
      </x:c>
      <x:c r="C25" s="15" t="str">
        <x:v>南阳吾悦</x:v>
      </x:c>
      <x:c r="D25" s="15" t="str">
        <x:v>朱玫卉</x:v>
      </x:c>
      <x:c r="E25" s="16" t="n">
        <x:v>7483</x:v>
      </x:c>
      <x:c r="F25" s="16" t="n">
        <x:v>12765</x:v>
      </x:c>
      <x:c r="G25" s="16" t="n">
        <x:f>IFERROR(E25-F25,0)</x:f>
        <x:v>-5282</x:v>
      </x:c>
      <x:c r="H25" s="17" t="n">
        <x:v>0.5986</x:v>
      </x:c>
      <x:c r="I25" s="17" t="n">
        <x:v>0.7273000000000001</x:v>
      </x:c>
      <x:c r="J25" s="15" t="n">
        <x:v>16</x:v>
      </x:c>
      <x:c r="K25" s="16" t="n">
        <x:v>6553</x:v>
      </x:c>
      <x:c r="L25" s="46" t="n">
        <x:v>400</x:v>
      </x:c>
    </x:row>
    <x:row r="26">
      <x:c r="A26" s="14" t="n">
        <x:v>25</x:v>
      </x:c>
      <x:c r="B26" s="15" t="str">
        <x:v>2区</x:v>
      </x:c>
      <x:c r="C26" s="15" t="str">
        <x:v>周口万达</x:v>
      </x:c>
      <x:c r="D26" s="15" t="str">
        <x:v>郑梦婷</x:v>
      </x:c>
      <x:c r="E26" s="16" t="n">
        <x:v>7291</x:v>
      </x:c>
      <x:c r="F26" s="16" t="n">
        <x:v>5013.2</x:v>
      </x:c>
      <x:c r="G26" s="16" t="n">
        <x:f>IFERROR(E26-F26,0)</x:f>
        <x:v>2277.8</x:v>
      </x:c>
      <x:c r="H26" s="17" t="n">
        <x:v>1.022</x:v>
      </x:c>
      <x:c r="I26" s="17" t="n">
        <x:v>0.34380000000000005</x:v>
      </x:c>
      <x:c r="J26" s="15" t="n">
        <x:v>11</x:v>
      </x:c>
      <x:c r="K26" s="16" t="n">
        <x:v>4031</x:v>
      </x:c>
      <x:c r="L26" s="46" t="n">
        <x:v>1500</x:v>
      </x:c>
    </x:row>
    <x:row r="27">
      <x:c r="A27" s="14" t="n">
        <x:v>26</x:v>
      </x:c>
      <x:c r="B27" s="15" t="str">
        <x:v>2区</x:v>
      </x:c>
      <x:c r="C27" s="15" t="str">
        <x:v>周口万达</x:v>
      </x:c>
      <x:c r="D27" s="15" t="str">
        <x:v>冯瀚文</x:v>
      </x:c>
      <x:c r="E27" s="16" t="n">
        <x:v>6940</x:v>
      </x:c>
      <x:c r="F27" s="16" t="n">
        <x:v>5599.2</x:v>
      </x:c>
      <x:c r="G27" s="16" t="n">
        <x:f>IFERROR(E27-F27,0)</x:f>
        <x:v>1340.8000000000002</x:v>
      </x:c>
      <x:c r="H27" s="17" t="n">
        <x:v>0.9728</x:v>
      </x:c>
      <x:c r="I27" s="17" t="n">
        <x:v>0.52</x:v>
      </x:c>
      <x:c r="J27" s="15" t="n">
        <x:v>13</x:v>
      </x:c>
      <x:c r="K27" s="16" t="n">
        <x:v>3986</x:v>
      </x:c>
      <x:c r="L27" s="46" t="n">
        <x:v>1949</x:v>
      </x:c>
    </x:row>
    <x:row r="28">
      <x:c r="A28" s="14" t="n">
        <x:v>27</x:v>
      </x:c>
      <x:c r="B28" s="15" t="str">
        <x:v>3区</x:v>
      </x:c>
      <x:c r="C28" s="15" t="str">
        <x:v>郑州中原万达</x:v>
      </x:c>
      <x:c r="D28" s="15" t="str">
        <x:v>张茹</x:v>
      </x:c>
      <x:c r="E28" s="16" t="n">
        <x:v>6553</x:v>
      </x:c>
      <x:c r="F28" s="16" t="n">
        <x:v>6306</x:v>
      </x:c>
      <x:c r="G28" s="16" t="n">
        <x:f>IFERROR(E28-F28,0)</x:f>
        <x:v>247</x:v>
      </x:c>
      <x:c r="H28" s="17" t="n">
        <x:v>0.6553</x:v>
      </x:c>
      <x:c r="I28" s="17" t="n">
        <x:v>0.43479999999999996</x:v>
      </x:c>
      <x:c r="J28" s="15" t="n">
        <x:v>10</x:v>
      </x:c>
      <x:c r="K28" s="16" t="n">
        <x:v>4370</x:v>
      </x:c>
      <x:c r="L28" s="46" t="n">
        <x:v>1000</x:v>
      </x:c>
    </x:row>
    <x:row r="29">
      <x:c r="A29" s="14" t="n">
        <x:v>28</x:v>
      </x:c>
      <x:c r="B29" s="15" t="str">
        <x:v>3区</x:v>
      </x:c>
      <x:c r="C29" s="15" t="str">
        <x:v>郑州中原万达</x:v>
      </x:c>
      <x:c r="D29" s="15" t="str">
        <x:v>杨依梦</x:v>
      </x:c>
      <x:c r="E29" s="16" t="n">
        <x:v>6117.9</x:v>
      </x:c>
      <x:c r="F29" s="16" t="n">
        <x:v>959</x:v>
      </x:c>
      <x:c r="G29" s="16" t="n">
        <x:f>IFERROR(E29-F29,0)</x:f>
        <x:v>5158.9</x:v>
      </x:c>
      <x:c r="H29" s="17" t="n">
        <x:v>0.6118</x:v>
      </x:c>
      <x:c r="I29" s="17" t="n">
        <x:v>0.6667000000000001</x:v>
      </x:c>
      <x:c r="J29" s="15" t="n">
        <x:v>14</x:v>
      </x:c>
      <x:c r="K29" s="16" t="n">
        <x:v>4872.9</x:v>
      </x:c>
      <x:c r="L29" s="46" t="n">
        <x:v>600</x:v>
      </x:c>
    </x:row>
    <x:row r="30">
      <x:c r="A30" s="14" t="n">
        <x:v>29</x:v>
      </x:c>
      <x:c r="B30" s="15" t="str">
        <x:v>2区</x:v>
      </x:c>
      <x:c r="C30" s="15" t="str">
        <x:v>焦作万达</x:v>
      </x:c>
      <x:c r="D30" s="15" t="str">
        <x:v>张强</x:v>
      </x:c>
      <x:c r="E30" s="16" t="n">
        <x:v>5764</x:v>
      </x:c>
      <x:c r="F30" s="16"/>
      <x:c r="G30" s="16" t="n">
        <x:f>IFERROR(E30-F30,0)</x:f>
        <x:v>5764</x:v>
      </x:c>
      <x:c r="H30" s="17" t="n">
        <x:v>0.5703</x:v>
      </x:c>
      <x:c r="I30" s="17" t="n">
        <x:v>0.6667000000000001</x:v>
      </x:c>
      <x:c r="J30" s="15" t="n">
        <x:v>8</x:v>
      </x:c>
      <x:c r="K30" s="16" t="n">
        <x:v>3761</x:v>
      </x:c>
      <x:c r="L30" s="46" t="n">
        <x:v>1600</x:v>
      </x:c>
    </x:row>
    <x:row r="31">
      <x:c r="A31" s="14" t="n">
        <x:v>30</x:v>
      </x:c>
      <x:c r="B31" s="15" t="str">
        <x:v>1区</x:v>
      </x:c>
      <x:c r="C31" s="15" t="str">
        <x:v>南阳万达</x:v>
      </x:c>
      <x:c r="D31" s="15" t="str">
        <x:v>王佳婷</x:v>
      </x:c>
      <x:c r="E31" s="16" t="n">
        <x:v>5485</x:v>
      </x:c>
      <x:c r="F31" s="16"/>
      <x:c r="G31" s="16" t="n">
        <x:f>IFERROR(E31-F31,0)</x:f>
        <x:v>5485</x:v>
      </x:c>
      <x:c r="H31" s="17" t="n">
        <x:v>0.7031999999999999</x:v>
      </x:c>
      <x:c r="I31" s="17" t="n">
        <x:v>0.6667000000000001</x:v>
      </x:c>
      <x:c r="J31" s="15" t="n">
        <x:v>8</x:v>
      </x:c>
      <x:c r="K31" s="16" t="n">
        <x:v>3880</x:v>
      </x:c>
      <x:c r="L31" s="46" t="n">
        <x:v>1000</x:v>
      </x:c>
    </x:row>
    <x:row r="32">
      <x:c r="A32" s="14" t="n">
        <x:v>31</x:v>
      </x:c>
      <x:c r="B32" s="15" t="str">
        <x:v>3区</x:v>
      </x:c>
      <x:c r="C32" s="15" t="str">
        <x:v>安阳万达</x:v>
      </x:c>
      <x:c r="D32" s="15" t="str">
        <x:v>杨晶晶</x:v>
      </x:c>
      <x:c r="E32" s="16" t="n">
        <x:v>5450</x:v>
      </x:c>
      <x:c r="F32" s="16" t="n">
        <x:v>5037</x:v>
      </x:c>
      <x:c r="G32" s="16" t="n">
        <x:f>IFERROR(E32-F32,0)</x:f>
        <x:v>413</x:v>
      </x:c>
      <x:c r="H32" s="17" t="n">
        <x:v>0.5143</x:v>
      </x:c>
      <x:c r="I32" s="17" t="n">
        <x:v>0.4</x:v>
      </x:c>
      <x:c r="J32" s="15" t="n">
        <x:v>8</x:v>
      </x:c>
      <x:c r="K32" s="16" t="n">
        <x:v>3980</x:v>
      </x:c>
      <x:c r="L32" s="46" t="n">
        <x:v>400</x:v>
      </x:c>
    </x:row>
    <x:row r="33">
      <x:c r="A33" s="14" t="n">
        <x:v>32</x:v>
      </x:c>
      <x:c r="B33" s="15" t="str">
        <x:v>2区</x:v>
      </x:c>
      <x:c r="C33" s="15" t="str">
        <x:v>郑州惠济万达</x:v>
      </x:c>
      <x:c r="D33" s="15" t="str">
        <x:v>张运博</x:v>
      </x:c>
      <x:c r="E33" s="16" t="n">
        <x:v>5409</x:v>
      </x:c>
      <x:c r="F33" s="16"/>
      <x:c r="G33" s="16" t="n">
        <x:f>IFERROR(E33-F33,0)</x:f>
        <x:v>5409</x:v>
      </x:c>
      <x:c r="H33" s="17" t="n">
        <x:v>0.5212</x:v>
      </x:c>
      <x:c r="I33" s="17" t="n">
        <x:v>1</x:v>
      </x:c>
      <x:c r="J33" s="15" t="n">
        <x:v>7</x:v>
      </x:c>
      <x:c r="K33" s="16" t="n">
        <x:v>3537</x:v>
      </x:c>
      <x:c r="L33" s="46" t="n">
        <x:v>1800</x:v>
      </x:c>
    </x:row>
    <x:row r="34">
      <x:c r="A34" s="14" t="n">
        <x:v>33</x:v>
      </x:c>
      <x:c r="B34" s="15" t="str">
        <x:v>2区</x:v>
      </x:c>
      <x:c r="C34" s="15" t="str">
        <x:v>洛阳泉舜</x:v>
      </x:c>
      <x:c r="D34" s="15" t="str">
        <x:v>杨翠鸽</x:v>
      </x:c>
      <x:c r="E34" s="16" t="n">
        <x:v>5383</x:v>
      </x:c>
      <x:c r="F34" s="16" t="n">
        <x:v>10104.2</x:v>
      </x:c>
      <x:c r="G34" s="16" t="n">
        <x:f>IFERROR(E34-F34,0)</x:f>
        <x:v>-4721.200000000001</x:v>
      </x:c>
      <x:c r="H34" s="17" t="n">
        <x:v>0.3845</x:v>
      </x:c>
      <x:c r="I34" s="17" t="n">
        <x:v>0.5556</x:v>
      </x:c>
      <x:c r="J34" s="15" t="n">
        <x:v>10</x:v>
      </x:c>
      <x:c r="K34" s="16" t="n">
        <x:v>3988</x:v>
      </x:c>
      <x:c r="L34" s="46" t="n">
        <x:v>1000</x:v>
      </x:c>
    </x:row>
    <x:row r="35">
      <x:c r="A35" s="14" t="n">
        <x:v>34</x:v>
      </x:c>
      <x:c r="B35" s="15" t="str">
        <x:v>1区</x:v>
      </x:c>
      <x:c r="C35" s="15" t="str">
        <x:v>南阳吾悦</x:v>
      </x:c>
      <x:c r="D35" s="15" t="str">
        <x:v>齐继风</x:v>
      </x:c>
      <x:c r="E35" s="16" t="n">
        <x:v>5207</x:v>
      </x:c>
      <x:c r="F35" s="16"/>
      <x:c r="G35" s="16" t="n">
        <x:f>IFERROR(E35-F35,0)</x:f>
        <x:v>5207</x:v>
      </x:c>
      <x:c r="H35" s="17" t="n">
        <x:v>0.4775</x:v>
      </x:c>
      <x:c r="I35" s="17" t="n">
        <x:v>0.7857</x:v>
      </x:c>
      <x:c r="J35" s="15" t="n">
        <x:v>11</x:v>
      </x:c>
      <x:c r="K35" s="16" t="n">
        <x:v>3897</x:v>
      </x:c>
      <x:c r="L35" s="46" t="n">
        <x:v>1000</x:v>
      </x:c>
    </x:row>
    <x:row r="36">
      <x:c r="A36" s="14" t="n">
        <x:v>35</x:v>
      </x:c>
      <x:c r="B36" s="15" t="str">
        <x:v>3区</x:v>
      </x:c>
      <x:c r="C36" s="15" t="str">
        <x:v>安阳万达</x:v>
      </x:c>
      <x:c r="D36" s="15" t="str">
        <x:v>宋来</x:v>
      </x:c>
      <x:c r="E36" s="16" t="n">
        <x:v>5099</x:v>
      </x:c>
      <x:c r="F36" s="16"/>
      <x:c r="G36" s="16" t="n">
        <x:f>IFERROR(E36-F36,0)</x:f>
        <x:v>5099</x:v>
      </x:c>
      <x:c r="H36" s="17" t="n">
        <x:v>0.7214</x:v>
      </x:c>
      <x:c r="I36" s="17" t="n">
        <x:v>0.23079999999999998</x:v>
      </x:c>
      <x:c r="J36" s="15" t="n">
        <x:v>3</x:v>
      </x:c>
      <x:c r="K36" s="16" t="n">
        <x:v>1600</x:v>
      </x:c>
      <x:c r="L36" s="46" t="n">
        <x:v>2600</x:v>
      </x:c>
    </x:row>
    <x:row r="37">
      <x:c r="A37" s="14" t="n">
        <x:v>36</x:v>
      </x:c>
      <x:c r="B37" s="15" t="str">
        <x:v>1区</x:v>
      </x:c>
      <x:c r="C37" s="15" t="str">
        <x:v>商丘万达</x:v>
      </x:c>
      <x:c r="D37" s="15" t="str">
        <x:v>李桃</x:v>
      </x:c>
      <x:c r="E37" s="16" t="n">
        <x:v>5088.05</x:v>
      </x:c>
      <x:c r="F37" s="16"/>
      <x:c r="G37" s="16" t="n">
        <x:f>IFERROR(E37-F37,0)</x:f>
        <x:v>5088.05</x:v>
      </x:c>
      <x:c r="H37" s="17" t="n">
        <x:v>0.6501</x:v>
      </x:c>
      <x:c r="I37" s="17" t="n">
        <x:v>0.5</x:v>
      </x:c>
      <x:c r="J37" s="15" t="n">
        <x:v>6</x:v>
      </x:c>
      <x:c r="K37" s="16" t="n">
        <x:v>1961.05</x:v>
      </x:c>
      <x:c r="L37" s="46" t="n">
        <x:v>2394</x:v>
      </x:c>
    </x:row>
    <x:row r="38">
      <x:c r="A38" s="14" t="n">
        <x:v>37</x:v>
      </x:c>
      <x:c r="B38" s="15" t="str">
        <x:v>2区</x:v>
      </x:c>
      <x:c r="C38" s="15" t="str">
        <x:v>郑州信万</x:v>
      </x:c>
      <x:c r="D38" s="15" t="str">
        <x:v>余心如</x:v>
      </x:c>
      <x:c r="E38" s="16" t="n">
        <x:v>4981</x:v>
      </x:c>
      <x:c r="F38" s="16" t="n">
        <x:v>5899</x:v>
      </x:c>
      <x:c r="G38" s="16" t="n">
        <x:f>IFERROR(E38-F38,0)</x:f>
        <x:v>-918</x:v>
      </x:c>
      <x:c r="H38" s="17" t="n">
        <x:v>0.6225999999999999</x:v>
      </x:c>
      <x:c r="I38" s="17" t="n">
        <x:v>0.4375</x:v>
      </x:c>
      <x:c r="J38" s="15" t="n">
        <x:v>7</x:v>
      </x:c>
      <x:c r="K38" s="16" t="n">
        <x:v>3291</x:v>
      </x:c>
      <x:c r="L38" s="46" t="n">
        <x:v>1000</x:v>
      </x:c>
    </x:row>
    <x:row r="39">
      <x:c r="A39" s="14" t="n">
        <x:v>38</x:v>
      </x:c>
      <x:c r="B39" s="15" t="str">
        <x:v>2区</x:v>
      </x:c>
      <x:c r="C39" s="15" t="str">
        <x:v>郑州惠济万达</x:v>
      </x:c>
      <x:c r="D39" s="15" t="str">
        <x:v>张赛宁</x:v>
      </x:c>
      <x:c r="E39" s="16" t="n">
        <x:v>4750</x:v>
      </x:c>
      <x:c r="F39" s="16" t="n">
        <x:v>2862</x:v>
      </x:c>
      <x:c r="G39" s="16" t="n">
        <x:f>IFERROR(E39-F39,0)</x:f>
        <x:v>1888</x:v>
      </x:c>
      <x:c r="H39" s="17" t="n">
        <x:v>0.4039</x:v>
      </x:c>
      <x:c r="I39" s="17" t="n">
        <x:v>0.75</x:v>
      </x:c>
      <x:c r="J39" s="15" t="n">
        <x:v>9</x:v>
      </x:c>
      <x:c r="K39" s="16" t="n">
        <x:v>3690</x:v>
      </x:c>
      <x:c r="L39" s="46" t="n">
        <x:v>1050</x:v>
      </x:c>
    </x:row>
    <x:row r="40">
      <x:c r="A40" s="14" t="n">
        <x:v>39</x:v>
      </x:c>
      <x:c r="B40" s="15" t="str">
        <x:v>1区</x:v>
      </x:c>
      <x:c r="C40" s="15" t="str">
        <x:v>襄阳高新万达</x:v>
      </x:c>
      <x:c r="D40" s="15" t="str">
        <x:v>王爽</x:v>
      </x:c>
      <x:c r="E40" s="16" t="n">
        <x:v>4581</x:v>
      </x:c>
      <x:c r="F40" s="16"/>
      <x:c r="G40" s="16" t="n">
        <x:f>IFERROR(E40-F40,0)</x:f>
        <x:v>4581</x:v>
      </x:c>
      <x:c r="H40" s="17" t="n">
        <x:v>0.8521</x:v>
      </x:c>
      <x:c r="I40" s="17" t="n">
        <x:v>0.7059000000000001</x:v>
      </x:c>
      <x:c r="J40" s="15" t="n">
        <x:v>12</x:v>
      </x:c>
      <x:c r="K40" s="16" t="n">
        <x:v>3758</x:v>
      </x:c>
      <x:c r="L40" s="46" t="n">
        <x:v>400</x:v>
      </x:c>
    </x:row>
    <x:row r="41">
      <x:c r="A41" s="14" t="n">
        <x:v>40</x:v>
      </x:c>
      <x:c r="B41" s="15" t="str">
        <x:v>2区</x:v>
      </x:c>
      <x:c r="C41" s="15" t="str">
        <x:v>新乡万达</x:v>
      </x:c>
      <x:c r="D41" s="15" t="str">
        <x:v>李淑艳</x:v>
      </x:c>
      <x:c r="E41" s="16" t="n">
        <x:v>4292.3</x:v>
      </x:c>
      <x:c r="F41" s="16" t="n">
        <x:v>3309</x:v>
      </x:c>
      <x:c r="G41" s="16" t="n">
        <x:f>IFERROR(E41-F41,0)</x:f>
        <x:v>983.3000000000002</x:v>
      </x:c>
      <x:c r="H41" s="17" t="n">
        <x:v>0.44020000000000004</x:v>
      </x:c>
      <x:c r="I41" s="17" t="n">
        <x:v>0.2632</x:v>
      </x:c>
      <x:c r="J41" s="15" t="n">
        <x:v>5</x:v>
      </x:c>
      <x:c r="K41" s="16" t="n">
        <x:v>1913</x:v>
      </x:c>
      <x:c r="L41" s="46" t="n">
        <x:v>900</x:v>
      </x:c>
    </x:row>
    <x:row r="42">
      <x:c r="A42" s="14" t="n">
        <x:v>41</x:v>
      </x:c>
      <x:c r="B42" s="15" t="str">
        <x:v>3区</x:v>
      </x:c>
      <x:c r="C42" s="15" t="str">
        <x:v>安阳滑县吾悦</x:v>
      </x:c>
      <x:c r="D42" s="15" t="str">
        <x:v>汤明放</x:v>
      </x:c>
      <x:c r="E42" s="16" t="n">
        <x:v>4264</x:v>
      </x:c>
      <x:c r="F42" s="16"/>
      <x:c r="G42" s="16" t="n">
        <x:f>IFERROR(E42-F42,0)</x:f>
        <x:v>4264</x:v>
      </x:c>
      <x:c r="H42" s="17" t="n">
        <x:v>0.5134000000000001</x:v>
      </x:c>
      <x:c r="I42" s="17" t="n">
        <x:v>0.4583</x:v>
      </x:c>
      <x:c r="J42" s="15" t="n">
        <x:v>11</x:v>
      </x:c>
      <x:c r="K42" s="16" t="n">
        <x:v>3282</x:v>
      </x:c>
      <x:c r="L42" s="46" t="n">
        <x:v>0</x:v>
      </x:c>
    </x:row>
    <x:row r="43">
      <x:c r="A43" s="14" t="n">
        <x:v>42</x:v>
      </x:c>
      <x:c r="B43" s="15" t="str">
        <x:v>3区</x:v>
      </x:c>
      <x:c r="C43" s="15" t="str">
        <x:v>郑州美盛天街</x:v>
      </x:c>
      <x:c r="D43" s="15" t="str">
        <x:v>周浩磊</x:v>
      </x:c>
      <x:c r="E43" s="16" t="n">
        <x:v>3820</x:v>
      </x:c>
      <x:c r="F43" s="16"/>
      <x:c r="G43" s="16" t="n">
        <x:f>IFERROR(E43-F43,0)</x:f>
        <x:v>3820</x:v>
      </x:c>
      <x:c r="H43" s="17" t="n">
        <x:v>0.3379</x:v>
      </x:c>
      <x:c r="I43" s="17" t="n">
        <x:v>0.2778</x:v>
      </x:c>
      <x:c r="J43" s="15" t="n">
        <x:v>5</x:v>
      </x:c>
      <x:c r="K43" s="16" t="n">
        <x:v>2499</x:v>
      </x:c>
      <x:c r="L43" s="46" t="n">
        <x:v>0</x:v>
      </x:c>
    </x:row>
    <x:row r="44">
      <x:c r="A44" s="14" t="n">
        <x:v>43</x:v>
      </x:c>
      <x:c r="B44" s="15" t="str">
        <x:v>2区</x:v>
      </x:c>
      <x:c r="C44" s="15" t="str">
        <x:v>周口万达</x:v>
      </x:c>
      <x:c r="D44" s="15" t="str">
        <x:v>杨宁可</x:v>
      </x:c>
      <x:c r="E44" s="16" t="n">
        <x:v>3554</x:v>
      </x:c>
      <x:c r="F44" s="16"/>
      <x:c r="G44" s="16" t="n">
        <x:f>IFERROR(E44-F44,0)</x:f>
        <x:v>3554</x:v>
      </x:c>
      <x:c r="H44" s="17" t="n">
        <x:v>0.581</x:v>
      </x:c>
      <x:c r="I44" s="17" t="n">
        <x:v>0.35710000000000003</x:v>
      </x:c>
      <x:c r="J44" s="15" t="n">
        <x:v>5</x:v>
      </x:c>
      <x:c r="K44" s="16" t="n">
        <x:v>1577</x:v>
      </x:c>
      <x:c r="L44" s="46" t="n">
        <x:v>1099</x:v>
      </x:c>
    </x:row>
    <x:row r="45">
      <x:c r="A45" s="14" t="n">
        <x:v>44</x:v>
      </x:c>
      <x:c r="B45" s="15" t="str">
        <x:v>2区</x:v>
      </x:c>
      <x:c r="C45" s="15" t="str">
        <x:v>新乡万达</x:v>
      </x:c>
      <x:c r="D45" s="15" t="str">
        <x:v>贵诗涵</x:v>
      </x:c>
      <x:c r="E45" s="16" t="n">
        <x:v>3477</x:v>
      </x:c>
      <x:c r="F45" s="16"/>
      <x:c r="G45" s="16" t="n">
        <x:f>IFERROR(E45-F45,0)</x:f>
        <x:v>3477</x:v>
      </x:c>
      <x:c r="H45" s="17" t="n">
        <x:v>0.4439</x:v>
      </x:c>
      <x:c r="I45" s="17" t="n">
        <x:v>0.3333</x:v>
      </x:c>
      <x:c r="J45" s="15" t="n">
        <x:v>3</x:v>
      </x:c>
      <x:c r="K45" s="16" t="n">
        <x:v>1465</x:v>
      </x:c>
      <x:c r="L45" s="46" t="n">
        <x:v>1400</x:v>
      </x:c>
    </x:row>
    <x:row r="46">
      <x:c r="A46" s="14" t="n">
        <x:v>45</x:v>
      </x:c>
      <x:c r="B46" s="15" t="str">
        <x:v>3区</x:v>
      </x:c>
      <x:c r="C46" s="15" t="str">
        <x:v>郑州中原万达</x:v>
      </x:c>
      <x:c r="D46" s="15" t="str">
        <x:v>王嘉琦</x:v>
      </x:c>
      <x:c r="E46" s="16" t="n">
        <x:v>3213.9</x:v>
      </x:c>
      <x:c r="F46" s="16"/>
      <x:c r="G46" s="16" t="n">
        <x:f>IFERROR(E46-F46,0)</x:f>
        <x:v>3213.9</x:v>
      </x:c>
      <x:c r="H46" s="17" t="n">
        <x:v>0.45270000000000005</x:v>
      </x:c>
      <x:c r="I46" s="17" t="n">
        <x:v>0.3333</x:v>
      </x:c>
      <x:c r="J46" s="15" t="n">
        <x:v>4</x:v>
      </x:c>
      <x:c r="K46" s="16" t="n">
        <x:v>1400</x:v>
      </x:c>
      <x:c r="L46" s="46" t="n">
        <x:v>600</x:v>
      </x:c>
    </x:row>
    <x:row r="47">
      <x:c r="A47" s="14" t="n">
        <x:v>46</x:v>
      </x:c>
      <x:c r="B47" s="15" t="str">
        <x:v>3区</x:v>
      </x:c>
      <x:c r="C47" s="15" t="str">
        <x:v>武汉武昌万象城</x:v>
      </x:c>
      <x:c r="D47" s="15" t="str">
        <x:v>王艺</x:v>
      </x:c>
      <x:c r="E47" s="16" t="n">
        <x:v>3148</x:v>
      </x:c>
      <x:c r="F47" s="16"/>
      <x:c r="G47" s="16" t="n">
        <x:f>IFERROR(E47-F47,0)</x:f>
        <x:v>3148</x:v>
      </x:c>
      <x:c r="H47" s="17" t="n">
        <x:v>2.0987</x:v>
      </x:c>
      <x:c r="I47" s="17" t="n">
        <x:v>0.4286</x:v>
      </x:c>
      <x:c r="J47" s="15" t="n">
        <x:v>3</x:v>
      </x:c>
      <x:c r="K47" s="16" t="n">
        <x:v>1756</x:v>
      </x:c>
      <x:c r="L47" s="46" t="n">
        <x:v>1000</x:v>
      </x:c>
    </x:row>
    <x:row r="48">
      <x:c r="A48" s="14" t="n">
        <x:v>47</x:v>
      </x:c>
      <x:c r="B48" s="15" t="str">
        <x:v>2区</x:v>
      </x:c>
      <x:c r="C48" s="15" t="str">
        <x:v>郑州信万</x:v>
      </x:c>
      <x:c r="D48" s="15" t="str">
        <x:v>司聪慧</x:v>
      </x:c>
      <x:c r="E48" s="16" t="n">
        <x:v>3000</x:v>
      </x:c>
      <x:c r="F48" s="16"/>
      <x:c r="G48" s="16" t="n">
        <x:f>IFERROR(E48-F48,0)</x:f>
        <x:v>3000</x:v>
      </x:c>
      <x:c r="H48" s="17" t="n">
        <x:v>0.14679999999999999</x:v>
      </x:c>
      <x:c r="I48" s="17" t="n">
        <x:v>1</x:v>
      </x:c>
      <x:c r="J48" s="15" t="n">
        <x:v>4</x:v>
      </x:c>
      <x:c r="K48" s="16" t="n">
        <x:v>1800</x:v>
      </x:c>
      <x:c r="L48" s="46" t="n">
        <x:v>1200</x:v>
      </x:c>
    </x:row>
    <x:row r="49">
      <x:c r="A49" s="14" t="n">
        <x:v>48</x:v>
      </x:c>
      <x:c r="B49" s="15" t="str">
        <x:v>3区</x:v>
      </x:c>
      <x:c r="C49" s="15" t="str">
        <x:v>武汉武昌万象城</x:v>
      </x:c>
      <x:c r="D49" s="15" t="str">
        <x:v>刘希彤</x:v>
      </x:c>
      <x:c r="E49" s="16" t="n">
        <x:v>2900</x:v>
      </x:c>
      <x:c r="F49" s="16"/>
      <x:c r="G49" s="16" t="n">
        <x:f>IFERROR(E49-F49,0)</x:f>
        <x:v>2900</x:v>
      </x:c>
      <x:c r="H49" s="17" t="n">
        <x:v>0.9667</x:v>
      </x:c>
      <x:c r="I49" s="17" t="n">
        <x:v>1</x:v>
      </x:c>
      <x:c r="J49" s="15" t="n">
        <x:v>5</x:v>
      </x:c>
      <x:c r="K49" s="16" t="n">
        <x:v>2900</x:v>
      </x:c>
      <x:c r="L49" s="46" t="n">
        <x:v>0</x:v>
      </x:c>
    </x:row>
    <x:row r="50">
      <x:c r="A50" s="14" t="n">
        <x:v>49</x:v>
      </x:c>
      <x:c r="B50" s="15" t="str">
        <x:v>2区</x:v>
      </x:c>
      <x:c r="C50" s="15" t="str">
        <x:v>郑州惠济万达</x:v>
      </x:c>
      <x:c r="D50" s="15" t="str">
        <x:v>杜珂源</x:v>
      </x:c>
      <x:c r="E50" s="16" t="n">
        <x:v>2897</x:v>
      </x:c>
      <x:c r="F50" s="16" t="n">
        <x:v>5408</x:v>
      </x:c>
      <x:c r="G50" s="16" t="n">
        <x:f>IFERROR(E50-F50,0)</x:f>
        <x:v>-2511</x:v>
      </x:c>
      <x:c r="H50" s="17" t="n">
        <x:v>0.2692</x:v>
      </x:c>
      <x:c r="I50" s="17" t="n">
        <x:v>0.4545</x:v>
      </x:c>
      <x:c r="J50" s="15" t="n">
        <x:v>5</x:v>
      </x:c>
      <x:c r="K50" s="16" t="n">
        <x:v>1891</x:v>
      </x:c>
      <x:c r="L50" s="46" t="n">
        <x:v>388</x:v>
      </x:c>
    </x:row>
    <x:row r="51">
      <x:c r="A51" s="14" t="n">
        <x:v>50</x:v>
      </x:c>
      <x:c r="B51" s="15" t="str">
        <x:v>2区</x:v>
      </x:c>
      <x:c r="C51" s="15" t="str">
        <x:v>洛阳中州万达</x:v>
      </x:c>
      <x:c r="D51" s="15" t="str">
        <x:v>霍亭芮</x:v>
      </x:c>
      <x:c r="E51" s="16" t="n">
        <x:v>2738</x:v>
      </x:c>
      <x:c r="F51" s="16"/>
      <x:c r="G51" s="16" t="n">
        <x:f>IFERROR(E51-F51,0)</x:f>
        <x:v>2738</x:v>
      </x:c>
      <x:c r="H51" s="17" t="n">
        <x:v>0.6084</x:v>
      </x:c>
      <x:c r="I51" s="17" t="n">
        <x:v>0.7</x:v>
      </x:c>
      <x:c r="J51" s="15" t="n">
        <x:v>7</x:v>
      </x:c>
      <x:c r="K51" s="16" t="n">
        <x:v>2234</x:v>
      </x:c>
      <x:c r="L51" s="46" t="n">
        <x:v>200</x:v>
      </x:c>
    </x:row>
    <x:row r="52">
      <x:c r="A52" s="14" t="n">
        <x:v>51</x:v>
      </x:c>
      <x:c r="B52" s="15" t="str">
        <x:v>3区</x:v>
      </x:c>
      <x:c r="C52" s="15" t="str">
        <x:v>郑州二七万象城</x:v>
      </x:c>
      <x:c r="D52" s="15" t="str">
        <x:v>郑金原</x:v>
      </x:c>
      <x:c r="E52" s="16" t="n">
        <x:v>2550</x:v>
      </x:c>
      <x:c r="F52" s="16"/>
      <x:c r="G52" s="16" t="n">
        <x:f>IFERROR(E52-F52,0)</x:f>
        <x:v>2550</x:v>
      </x:c>
      <x:c r="H52" s="17" t="n">
        <x:v>0.3333</x:v>
      </x:c>
      <x:c r="I52" s="17" t="n">
        <x:v>0.625</x:v>
      </x:c>
      <x:c r="J52" s="15" t="n">
        <x:v>5</x:v>
      </x:c>
      <x:c r="K52" s="16" t="n">
        <x:v>2182</x:v>
      </x:c>
      <x:c r="L52" s="46" t="n">
        <x:v>0</x:v>
      </x:c>
    </x:row>
    <x:row r="53">
      <x:c r="A53" s="14" t="n">
        <x:v>52</x:v>
      </x:c>
      <x:c r="B53" s="15" t="str">
        <x:v>1区</x:v>
      </x:c>
      <x:c r="C53" s="15" t="str">
        <x:v>南阳万达</x:v>
      </x:c>
      <x:c r="D53" s="15" t="str">
        <x:v>徐瑞迎</x:v>
      </x:c>
      <x:c r="E53" s="16" t="n">
        <x:v>2494</x:v>
      </x:c>
      <x:c r="F53" s="16" t="n">
        <x:v>4814</x:v>
      </x:c>
      <x:c r="G53" s="16" t="n">
        <x:f>IFERROR(E53-F53,0)</x:f>
        <x:v>-2320</x:v>
      </x:c>
      <x:c r="H53" s="17" t="n">
        <x:v>0.3563</x:v>
      </x:c>
      <x:c r="I53" s="17" t="n">
        <x:v>0.625</x:v>
      </x:c>
      <x:c r="J53" s="15" t="n">
        <x:v>5</x:v>
      </x:c>
      <x:c r="K53" s="16" t="n">
        <x:v>2084</x:v>
      </x:c>
      <x:c r="L53" s="46" t="n">
        <x:v>400</x:v>
      </x:c>
    </x:row>
    <x:row r="54">
      <x:c r="A54" s="14" t="n">
        <x:v>53</x:v>
      </x:c>
      <x:c r="B54" s="15" t="str">
        <x:v>3区</x:v>
      </x:c>
      <x:c r="C54" s="15" t="str">
        <x:v>开封万达</x:v>
      </x:c>
      <x:c r="D54" s="15" t="str">
        <x:v>卢嘉诺</x:v>
      </x:c>
      <x:c r="E54" s="16" t="n">
        <x:v>2473.2</x:v>
      </x:c>
      <x:c r="F54" s="16"/>
      <x:c r="G54" s="16" t="n">
        <x:f>IFERROR(E54-F54,0)</x:f>
        <x:v>2473.2</x:v>
      </x:c>
      <x:c r="H54" s="17" t="n">
        <x:v>0.32049999999999995</x:v>
      </x:c>
      <x:c r="I54" s="17" t="n">
        <x:v>0.2727</x:v>
      </x:c>
      <x:c r="J54" s="15" t="n">
        <x:v>3</x:v>
      </x:c>
      <x:c r="K54" s="16" t="n">
        <x:v>1016</x:v>
      </x:c>
      <x:c r="L54" s="46" t="n">
        <x:v>600</x:v>
      </x:c>
    </x:row>
    <x:row r="55">
      <x:c r="A55" s="14" t="n">
        <x:v>54</x:v>
      </x:c>
      <x:c r="B55" s="15" t="str">
        <x:v>3区</x:v>
      </x:c>
      <x:c r="C55" s="15" t="str">
        <x:v>武汉武昌万象城</x:v>
      </x:c>
      <x:c r="D55" s="15" t="str">
        <x:v>殷翔坤</x:v>
      </x:c>
      <x:c r="E55" s="16" t="n">
        <x:v>2352</x:v>
      </x:c>
      <x:c r="F55" s="16" t="n">
        <x:v>409</x:v>
      </x:c>
      <x:c r="G55" s="16" t="n">
        <x:f>IFERROR(E55-F55,0)</x:f>
        <x:v>1943</x:v>
      </x:c>
      <x:c r="H55" s="17" t="n">
        <x:v>0.3136</x:v>
      </x:c>
      <x:c r="I55" s="17" t="n">
        <x:v>0.2727</x:v>
      </x:c>
      <x:c r="J55" s="15" t="n">
        <x:v>3</x:v>
      </x:c>
      <x:c r="K55" s="16" t="n">
        <x:v>1600</x:v>
      </x:c>
      <x:c r="L55" s="46" t="n">
        <x:v>0</x:v>
      </x:c>
    </x:row>
    <x:row r="56">
      <x:c r="A56" s="14" t="n">
        <x:v>55</x:v>
      </x:c>
      <x:c r="B56" s="15" t="str">
        <x:v>3区</x:v>
      </x:c>
      <x:c r="C56" s="15" t="str">
        <x:v>武汉武昌万象城</x:v>
      </x:c>
      <x:c r="D56" s="15" t="str">
        <x:v>朱丽萱</x:v>
      </x:c>
      <x:c r="E56" s="16" t="n">
        <x:v>2280</x:v>
      </x:c>
      <x:c r="F56" s="16"/>
      <x:c r="G56" s="16" t="n">
        <x:f>IFERROR(E56-F56,0)</x:f>
        <x:v>2280</x:v>
      </x:c>
      <x:c r="H56" s="17" t="n">
        <x:v>0.76</x:v>
      </x:c>
      <x:c r="I56" s="17" t="n">
        <x:v>1</x:v>
      </x:c>
      <x:c r="J56" s="15" t="n">
        <x:v>5</x:v>
      </x:c>
      <x:c r="K56" s="16" t="n">
        <x:v>2280</x:v>
      </x:c>
      <x:c r="L56" s="46" t="n">
        <x:v>0</x:v>
      </x:c>
    </x:row>
    <x:row r="57">
      <x:c r="A57" s="14" t="n">
        <x:v>56</x:v>
      </x:c>
      <x:c r="B57" s="15" t="str">
        <x:v>3区</x:v>
      </x:c>
      <x:c r="C57" s="15" t="str">
        <x:v>安阳滑县吾悦</x:v>
      </x:c>
      <x:c r="D57" s="15" t="str">
        <x:v>范超凡</x:v>
      </x:c>
      <x:c r="E57" s="16" t="n">
        <x:v>2246.05</x:v>
      </x:c>
      <x:c r="F57" s="16" t="n">
        <x:v>2854</x:v>
      </x:c>
      <x:c r="G57" s="16" t="n">
        <x:f>IFERROR(E57-F57,0)</x:f>
        <x:v>-607.9499999999998</x:v>
      </x:c>
      <x:c r="H57" s="17" t="n">
        <x:v>0.2704</x:v>
      </x:c>
      <x:c r="I57" s="17" t="n">
        <x:v>0.23079999999999998</x:v>
      </x:c>
      <x:c r="J57" s="15" t="n">
        <x:v>3</x:v>
      </x:c>
      <x:c r="K57" s="16" t="n">
        <x:v>877.05</x:v>
      </x:c>
      <x:c r="L57" s="46" t="n">
        <x:v>638</x:v>
      </x:c>
    </x:row>
    <x:row r="58">
      <x:c r="A58" s="14" t="n">
        <x:v>57</x:v>
      </x:c>
      <x:c r="B58" s="15" t="str">
        <x:v>1区</x:v>
      </x:c>
      <x:c r="C58" s="15" t="str">
        <x:v>信阳万达</x:v>
      </x:c>
      <x:c r="D58" s="15" t="str">
        <x:v>胡功海</x:v>
      </x:c>
      <x:c r="E58" s="16" t="n">
        <x:v>2226.1</x:v>
      </x:c>
      <x:c r="F58" s="16"/>
      <x:c r="G58" s="16" t="n">
        <x:f>IFERROR(E58-F58,0)</x:f>
        <x:v>2226.1</x:v>
      </x:c>
      <x:c r="H58" s="17" t="n">
        <x:v>0.3153</x:v>
      </x:c>
      <x:c r="I58" s="17" t="n">
        <x:v>0.875</x:v>
      </x:c>
      <x:c r="J58" s="15" t="n">
        <x:v>7</x:v>
      </x:c>
      <x:c r="K58" s="16" t="n">
        <x:v>1741.1</x:v>
      </x:c>
      <x:c r="L58" s="46" t="n">
        <x:v>399</x:v>
      </x:c>
    </x:row>
    <x:row r="59">
      <x:c r="A59" s="14" t="n">
        <x:v>58</x:v>
      </x:c>
      <x:c r="B59" s="15" t="str">
        <x:v>2区</x:v>
      </x:c>
      <x:c r="C59" s="15" t="str">
        <x:v>洛阳中州万达</x:v>
      </x:c>
      <x:c r="D59" s="15" t="str">
        <x:v>张笑怡</x:v>
      </x:c>
      <x:c r="E59" s="16" t="n">
        <x:v>1660</x:v>
      </x:c>
      <x:c r="F59" s="16" t="n">
        <x:v>6319</x:v>
      </x:c>
      <x:c r="G59" s="16" t="n">
        <x:f>IFERROR(E59-F59,0)</x:f>
        <x:v>-4659</x:v>
      </x:c>
      <x:c r="H59" s="17" t="n">
        <x:v>0.664</x:v>
      </x:c>
      <x:c r="I59" s="17" t="n">
        <x:v>0.0833</x:v>
      </x:c>
      <x:c r="J59" s="15" t="n">
        <x:v>1</x:v>
      </x:c>
      <x:c r="K59" s="16" t="n">
        <x:v>199</x:v>
      </x:c>
      <x:c r="L59" s="46" t="n">
        <x:v>400</x:v>
      </x:c>
    </x:row>
    <x:row r="60">
      <x:c r="A60" s="14" t="n">
        <x:v>59</x:v>
      </x:c>
      <x:c r="B60" s="15" t="str">
        <x:v>3区</x:v>
      </x:c>
      <x:c r="C60" s="15" t="str">
        <x:v>武汉荟聚</x:v>
      </x:c>
      <x:c r="D60" s="15" t="str">
        <x:v>严诗仪</x:v>
      </x:c>
      <x:c r="E60" s="16" t="n">
        <x:v>1246.35</x:v>
      </x:c>
      <x:c r="F60" s="16" t="n">
        <x:v>261</x:v>
      </x:c>
      <x:c r="G60" s="16" t="n">
        <x:f>IFERROR(E60-F60,0)</x:f>
        <x:v>985.3499999999999</x:v>
      </x:c>
      <x:c r="H60" s="17" t="n">
        <x:v>0.35609999999999997</x:v>
      </x:c>
      <x:c r="I60" s="17" t="n">
        <x:v>0.25</x:v>
      </x:c>
      <x:c r="J60" s="15" t="n">
        <x:v>7</x:v>
      </x:c>
      <x:c r="K60" s="16" t="n">
        <x:v>3585</x:v>
      </x:c>
      <x:c r="L60" s="46" t="n">
        <x:v>600</x:v>
      </x:c>
    </x:row>
    <x:row r="61">
      <x:c r="A61" s="14" t="n">
        <x:v>60</x:v>
      </x:c>
      <x:c r="B61" s="15" t="str">
        <x:v>2区</x:v>
      </x:c>
      <x:c r="C61" s="15" t="str">
        <x:v>新乡万达</x:v>
      </x:c>
      <x:c r="D61" s="15" t="str">
        <x:v>徐桃森</x:v>
      </x:c>
      <x:c r="E61" s="16" t="n">
        <x:v>1085</x:v>
      </x:c>
      <x:c r="F61" s="16"/>
      <x:c r="G61" s="16" t="n">
        <x:f>IFERROR(E61-F61,0)</x:f>
        <x:v>1085</x:v>
      </x:c>
      <x:c r="H61" s="17" t="n">
        <x:v>0.2893</x:v>
      </x:c>
      <x:c r="I61" s="17" t="n">
        <x:v>1</x:v>
      </x:c>
      <x:c r="J61" s="15" t="n">
        <x:v>3</x:v>
      </x:c>
      <x:c r="K61" s="16" t="n">
        <x:v>1085</x:v>
      </x:c>
      <x:c r="L61" s="46" t="n">
        <x:v>0</x:v>
      </x:c>
    </x:row>
    <x:row r="62">
      <x:c r="A62" s="14" t="n">
        <x:v>61</x:v>
      </x:c>
      <x:c r="B62" s="15" t="str">
        <x:v>1区</x:v>
      </x:c>
      <x:c r="C62" s="15" t="str">
        <x:v>南阳吾悦</x:v>
      </x:c>
      <x:c r="D62" s="15" t="str">
        <x:v>蔺海芬</x:v>
      </x:c>
      <x:c r="E62" s="16" t="n">
        <x:v>1012</x:v>
      </x:c>
      <x:c r="F62" s="16" t="n">
        <x:v>1953</x:v>
      </x:c>
      <x:c r="G62" s="16" t="n">
        <x:f>IFERROR(E62-F62,0)</x:f>
        <x:v>-941</x:v>
      </x:c>
      <x:c r="H62" s="17" t="n">
        <x:v>0</x:v>
      </x:c>
      <x:c r="I62" s="17" t="n">
        <x:v>0.5</x:v>
      </x:c>
      <x:c r="J62" s="15" t="n">
        <x:v>2</x:v>
      </x:c>
      <x:c r="K62" s="16" t="n">
        <x:v>788</x:v>
      </x:c>
      <x:c r="L62" s="46" t="n">
        <x:v>0</x:v>
      </x:c>
    </x:row>
    <x:row r="63">
      <x:c r="A63" s="14" t="n">
        <x:v>62</x:v>
      </x:c>
      <x:c r="B63" s="15" t="str">
        <x:v>3区</x:v>
      </x:c>
      <x:c r="C63" s="15" t="str">
        <x:v>郑州美盛天街</x:v>
      </x:c>
      <x:c r="D63" s="15" t="str">
        <x:v>郭文字</x:v>
      </x:c>
      <x:c r="E63" s="16" t="n">
        <x:v>900</x:v>
      </x:c>
      <x:c r="F63" s="16"/>
      <x:c r="G63" s="16" t="n">
        <x:f>IFERROR(E63-F63,0)</x:f>
        <x:v>900</x:v>
      </x:c>
      <x:c r="H63" s="17" t="n">
        <x:v>0.1361</x:v>
      </x:c>
      <x:c r="I63" s="17" t="n">
        <x:v>1</x:v>
      </x:c>
      <x:c r="J63" s="15" t="n">
        <x:v>2</x:v>
      </x:c>
      <x:c r="K63" s="16" t="n">
        <x:v>900</x:v>
      </x:c>
      <x:c r="L63" s="46" t="n">
        <x:v>0</x:v>
      </x:c>
    </x:row>
    <x:row r="64">
      <x:c r="A64" s="14" t="n">
        <x:v>63</x:v>
      </x:c>
      <x:c r="B64" s="15" t="str">
        <x:v>2区</x:v>
      </x:c>
      <x:c r="C64" s="15" t="str">
        <x:v>郑州惠济万达</x:v>
      </x:c>
      <x:c r="D64" s="15" t="str">
        <x:v>蒋雪梅</x:v>
      </x:c>
      <x:c r="E64" s="16" t="n">
        <x:v>895</x:v>
      </x:c>
      <x:c r="F64" s="16"/>
      <x:c r="G64" s="16" t="n">
        <x:f>IFERROR(E64-F64,0)</x:f>
        <x:v>895</x:v>
      </x:c>
      <x:c r="H64" s="17" t="n">
        <x:v>0</x:v>
      </x:c>
      <x:c r="I64" s="17" t="n">
        <x:v>0.2</x:v>
      </x:c>
      <x:c r="J64" s="15" t="n">
        <x:v>1</x:v>
      </x:c>
      <x:c r="K64" s="16" t="n">
        <x:v>895</x:v>
      </x:c>
      <x:c r="L64" s="46" t="n">
        <x:v>0</x:v>
      </x:c>
    </x:row>
    <x:row r="65">
      <x:c r="A65" s="14" t="n">
        <x:v>64</x:v>
      </x:c>
      <x:c r="B65" s="15" t="str">
        <x:v>3区</x:v>
      </x:c>
      <x:c r="C65" s="15" t="str">
        <x:v>武汉武昌万象城</x:v>
      </x:c>
      <x:c r="D65" s="15" t="str">
        <x:v>夏梦梦</x:v>
      </x:c>
      <x:c r="E65" s="16" t="n">
        <x:v>800</x:v>
      </x:c>
      <x:c r="F65" s="16"/>
      <x:c r="G65" s="16" t="n">
        <x:f>IFERROR(E65-F65,0)</x:f>
        <x:v>800</x:v>
      </x:c>
      <x:c r="H65" s="17" t="n">
        <x:v>0</x:v>
      </x:c>
      <x:c r="I65" s="17" t="n">
        <x:v>1</x:v>
      </x:c>
      <x:c r="J65" s="15" t="n">
        <x:v>2</x:v>
      </x:c>
      <x:c r="K65" s="16" t="n">
        <x:v>800</x:v>
      </x:c>
      <x:c r="L65" s="46" t="n">
        <x:v>0</x:v>
      </x:c>
    </x:row>
    <x:row r="66">
      <x:c r="A66" s="14" t="n">
        <x:v>65</x:v>
      </x:c>
      <x:c r="B66" s="15" t="str">
        <x:v>2区</x:v>
      </x:c>
      <x:c r="C66" s="15" t="str">
        <x:v>郑州信万</x:v>
      </x:c>
      <x:c r="D66" s="15" t="str">
        <x:v>杜翔</x:v>
      </x:c>
      <x:c r="E66" s="16" t="n">
        <x:v>800</x:v>
      </x:c>
      <x:c r="F66" s="16"/>
      <x:c r="G66" s="16" t="n">
        <x:f>IFERROR(E66-F66,0)</x:f>
        <x:v>800</x:v>
      </x:c>
      <x:c r="H66" s="17" t="n">
        <x:v>0.2697</x:v>
      </x:c>
      <x:c r="I66" s="17" t="n">
        <x:v>1</x:v>
      </x:c>
      <x:c r="J66" s="15" t="n">
        <x:v>1</x:v>
      </x:c>
      <x:c r="K66" s="16" t="n">
        <x:v>800</x:v>
      </x:c>
      <x:c r="L66" s="46" t="n">
        <x:v>0</x:v>
      </x:c>
    </x:row>
    <x:row r="67">
      <x:c r="A67" s="19" t="n">
        <x:v>66</x:v>
      </x:c>
      <x:c r="B67" s="20" t="str">
        <x:v>1区</x:v>
      </x:c>
      <x:c r="C67" s="20" t="str">
        <x:v>襄阳高新万达</x:v>
      </x:c>
      <x:c r="D67" s="20" t="str">
        <x:v>张鑫雨</x:v>
      </x:c>
      <x:c r="E67" s="21" t="n">
        <x:v>475</x:v>
      </x:c>
      <x:c r="F67" s="21" t="n">
        <x:v>383</x:v>
      </x:c>
      <x:c r="G67" s="21" t="n">
        <x:f>IFERROR(E67-F67,0)</x:f>
        <x:v>92</x:v>
      </x:c>
      <x:c r="H67" s="22" t="n">
        <x:v>0</x:v>
      </x:c>
      <x:c r="I67" s="22" t="n">
        <x:v>0</x:v>
      </x:c>
      <x:c r="J67" s="20" t="n">
        <x:v>0</x:v>
      </x:c>
      <x:c r="K67" s="21" t="n">
        <x:v>0</x:v>
      </x:c>
      <x:c r="L67" s="4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e39b48d39448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</x:cols>
  <x:sheetData>
    <x:row r="1" ht="28" customHeight="1">
      <x:c r="A1" s="11" t="str">
        <x:v>本周排名</x:v>
      </x:c>
      <x:c r="B1" s="12" t="str">
        <x:v>区域</x:v>
      </x:c>
      <x:c r="C1" s="12" t="str">
        <x:v>门店</x:v>
      </x:c>
      <x:c r="D1" s="12" t="str">
        <x:v>员工</x:v>
      </x:c>
      <x:c r="E1" s="12" t="str">
        <x:v>本周总金额</x:v>
      </x:c>
      <x:c r="F1" s="12" t="str">
        <x:v>上周总金额</x:v>
      </x:c>
      <x:c r="G1" s="12" t="str">
        <x:v>金额增减</x:v>
      </x:c>
      <x:c r="H1" s="12" t="str">
        <x:v>完成率</x:v>
      </x:c>
      <x:c r="I1" s="12" t="str">
        <x:v>新签办卡率</x:v>
      </x:c>
      <x:c r="J1" s="12" t="str">
        <x:v>新签卡数</x:v>
      </x:c>
      <x:c r="K1" s="12" t="str">
        <x:v>新签金额</x:v>
      </x:c>
      <x:c r="L1" s="13" t="str">
        <x:v>续卡金额</x:v>
      </x:c>
    </x:row>
    <x:row r="2">
      <x:c r="A2" s="14" t="n">
        <x:v>1</x:v>
      </x:c>
      <x:c r="B2" s="15" t="str">
        <x:v>2区</x:v>
      </x:c>
      <x:c r="C2" s="15" t="str">
        <x:v>郑州惠济万达</x:v>
      </x:c>
      <x:c r="D2" s="15" t="str">
        <x:v>张运博</x:v>
      </x:c>
      <x:c r="E2" s="16" t="n">
        <x:v>5409</x:v>
      </x:c>
      <x:c r="F2" s="16"/>
      <x:c r="G2" s="16" t="n">
        <x:f>IFERROR(E2-F2,0)</x:f>
        <x:v>5409</x:v>
      </x:c>
      <x:c r="H2" s="17" t="n">
        <x:v>0.5212</x:v>
      </x:c>
      <x:c r="I2" s="17" t="n">
        <x:v>1</x:v>
      </x:c>
      <x:c r="J2" s="15" t="n">
        <x:v>7</x:v>
      </x:c>
      <x:c r="K2" s="16" t="n">
        <x:v>3537</x:v>
      </x:c>
      <x:c r="L2" s="46" t="n">
        <x:v>1800</x:v>
      </x:c>
    </x:row>
    <x:row r="3">
      <x:c r="A3" s="14" t="n">
        <x:v>2</x:v>
      </x:c>
      <x:c r="B3" s="15" t="str">
        <x:v>2区</x:v>
      </x:c>
      <x:c r="C3" s="15" t="str">
        <x:v>郑州信万</x:v>
      </x:c>
      <x:c r="D3" s="15" t="str">
        <x:v>司聪慧</x:v>
      </x:c>
      <x:c r="E3" s="16" t="n">
        <x:v>3000</x:v>
      </x:c>
      <x:c r="F3" s="16"/>
      <x:c r="G3" s="16" t="n">
        <x:f>IFERROR(E3-F3,0)</x:f>
        <x:v>3000</x:v>
      </x:c>
      <x:c r="H3" s="17" t="n">
        <x:v>0.14679999999999999</x:v>
      </x:c>
      <x:c r="I3" s="17" t="n">
        <x:v>1</x:v>
      </x:c>
      <x:c r="J3" s="15" t="n">
        <x:v>4</x:v>
      </x:c>
      <x:c r="K3" s="16" t="n">
        <x:v>1800</x:v>
      </x:c>
      <x:c r="L3" s="46" t="n">
        <x:v>1200</x:v>
      </x:c>
    </x:row>
    <x:row r="4">
      <x:c r="A4" s="14" t="n">
        <x:v>3</x:v>
      </x:c>
      <x:c r="B4" s="15" t="str">
        <x:v>3区</x:v>
      </x:c>
      <x:c r="C4" s="15" t="str">
        <x:v>武汉武昌万象城</x:v>
      </x:c>
      <x:c r="D4" s="15" t="str">
        <x:v>刘希彤</x:v>
      </x:c>
      <x:c r="E4" s="16" t="n">
        <x:v>2900</x:v>
      </x:c>
      <x:c r="F4" s="16"/>
      <x:c r="G4" s="16" t="n">
        <x:f>IFERROR(E4-F4,0)</x:f>
        <x:v>2900</x:v>
      </x:c>
      <x:c r="H4" s="17" t="n">
        <x:v>0.9667</x:v>
      </x:c>
      <x:c r="I4" s="17" t="n">
        <x:v>1</x:v>
      </x:c>
      <x:c r="J4" s="15" t="n">
        <x:v>5</x:v>
      </x:c>
      <x:c r="K4" s="16" t="n">
        <x:v>2900</x:v>
      </x:c>
      <x:c r="L4" s="46" t="n">
        <x:v>0</x:v>
      </x:c>
    </x:row>
    <x:row r="5">
      <x:c r="A5" s="14" t="n">
        <x:v>4</x:v>
      </x:c>
      <x:c r="B5" s="15" t="str">
        <x:v>3区</x:v>
      </x:c>
      <x:c r="C5" s="15" t="str">
        <x:v>武汉武昌万象城</x:v>
      </x:c>
      <x:c r="D5" s="15" t="str">
        <x:v>朱丽萱</x:v>
      </x:c>
      <x:c r="E5" s="16" t="n">
        <x:v>2280</x:v>
      </x:c>
      <x:c r="F5" s="16"/>
      <x:c r="G5" s="16" t="n">
        <x:f>IFERROR(E5-F5,0)</x:f>
        <x:v>2280</x:v>
      </x:c>
      <x:c r="H5" s="17" t="n">
        <x:v>0.76</x:v>
      </x:c>
      <x:c r="I5" s="17" t="n">
        <x:v>1</x:v>
      </x:c>
      <x:c r="J5" s="15" t="n">
        <x:v>5</x:v>
      </x:c>
      <x:c r="K5" s="16" t="n">
        <x:v>2280</x:v>
      </x:c>
      <x:c r="L5" s="46" t="n">
        <x:v>0</x:v>
      </x:c>
    </x:row>
    <x:row r="6">
      <x:c r="A6" s="14" t="n">
        <x:v>5</x:v>
      </x:c>
      <x:c r="B6" s="15" t="str">
        <x:v>2区</x:v>
      </x:c>
      <x:c r="C6" s="15" t="str">
        <x:v>新乡万达</x:v>
      </x:c>
      <x:c r="D6" s="15" t="str">
        <x:v>徐桃森</x:v>
      </x:c>
      <x:c r="E6" s="16" t="n">
        <x:v>1085</x:v>
      </x:c>
      <x:c r="F6" s="16"/>
      <x:c r="G6" s="16" t="n">
        <x:f>IFERROR(E6-F6,0)</x:f>
        <x:v>1085</x:v>
      </x:c>
      <x:c r="H6" s="17" t="n">
        <x:v>0.2893</x:v>
      </x:c>
      <x:c r="I6" s="17" t="n">
        <x:v>1</x:v>
      </x:c>
      <x:c r="J6" s="15" t="n">
        <x:v>3</x:v>
      </x:c>
      <x:c r="K6" s="16" t="n">
        <x:v>1085</x:v>
      </x:c>
      <x:c r="L6" s="46" t="n">
        <x:v>0</x:v>
      </x:c>
    </x:row>
    <x:row r="7">
      <x:c r="A7" s="14" t="n">
        <x:v>6</x:v>
      </x:c>
      <x:c r="B7" s="15" t="str">
        <x:v>3区</x:v>
      </x:c>
      <x:c r="C7" s="15" t="str">
        <x:v>郑州美盛天街</x:v>
      </x:c>
      <x:c r="D7" s="15" t="str">
        <x:v>郭文字</x:v>
      </x:c>
      <x:c r="E7" s="16" t="n">
        <x:v>900</x:v>
      </x:c>
      <x:c r="F7" s="16"/>
      <x:c r="G7" s="16" t="n">
        <x:f>IFERROR(E7-F7,0)</x:f>
        <x:v>900</x:v>
      </x:c>
      <x:c r="H7" s="17" t="n">
        <x:v>0.1361</x:v>
      </x:c>
      <x:c r="I7" s="17" t="n">
        <x:v>1</x:v>
      </x:c>
      <x:c r="J7" s="15" t="n">
        <x:v>2</x:v>
      </x:c>
      <x:c r="K7" s="16" t="n">
        <x:v>900</x:v>
      </x:c>
      <x:c r="L7" s="46" t="n">
        <x:v>0</x:v>
      </x:c>
    </x:row>
    <x:row r="8">
      <x:c r="A8" s="14" t="n">
        <x:v>7</x:v>
      </x:c>
      <x:c r="B8" s="15" t="str">
        <x:v>3区</x:v>
      </x:c>
      <x:c r="C8" s="15" t="str">
        <x:v>武汉武昌万象城</x:v>
      </x:c>
      <x:c r="D8" s="15" t="str">
        <x:v>夏梦梦</x:v>
      </x:c>
      <x:c r="E8" s="16" t="n">
        <x:v>800</x:v>
      </x:c>
      <x:c r="F8" s="16"/>
      <x:c r="G8" s="16" t="n">
        <x:f>IFERROR(E8-F8,0)</x:f>
        <x:v>800</x:v>
      </x:c>
      <x:c r="H8" s="17" t="n">
        <x:v>0</x:v>
      </x:c>
      <x:c r="I8" s="17" t="n">
        <x:v>1</x:v>
      </x:c>
      <x:c r="J8" s="15" t="n">
        <x:v>2</x:v>
      </x:c>
      <x:c r="K8" s="16" t="n">
        <x:v>800</x:v>
      </x:c>
      <x:c r="L8" s="46" t="n">
        <x:v>0</x:v>
      </x:c>
    </x:row>
    <x:row r="9">
      <x:c r="A9" s="14" t="n">
        <x:v>8</x:v>
      </x:c>
      <x:c r="B9" s="15" t="str">
        <x:v>2区</x:v>
      </x:c>
      <x:c r="C9" s="15" t="str">
        <x:v>郑州信万</x:v>
      </x:c>
      <x:c r="D9" s="15" t="str">
        <x:v>杜翔</x:v>
      </x:c>
      <x:c r="E9" s="16" t="n">
        <x:v>800</x:v>
      </x:c>
      <x:c r="F9" s="16"/>
      <x:c r="G9" s="16" t="n">
        <x:f>IFERROR(E9-F9,0)</x:f>
        <x:v>800</x:v>
      </x:c>
      <x:c r="H9" s="17" t="n">
        <x:v>0.2697</x:v>
      </x:c>
      <x:c r="I9" s="17" t="n">
        <x:v>1</x:v>
      </x:c>
      <x:c r="J9" s="15" t="n">
        <x:v>1</x:v>
      </x:c>
      <x:c r="K9" s="16" t="n">
        <x:v>800</x:v>
      </x:c>
      <x:c r="L9" s="46" t="n">
        <x:v>0</x:v>
      </x:c>
    </x:row>
    <x:row r="10">
      <x:c r="A10" s="14" t="n">
        <x:v>9</x:v>
      </x:c>
      <x:c r="B10" s="15" t="str">
        <x:v>1区</x:v>
      </x:c>
      <x:c r="C10" s="15" t="str">
        <x:v>信阳万达</x:v>
      </x:c>
      <x:c r="D10" s="15" t="str">
        <x:v>胡功海</x:v>
      </x:c>
      <x:c r="E10" s="16" t="n">
        <x:v>2226.1</x:v>
      </x:c>
      <x:c r="F10" s="16"/>
      <x:c r="G10" s="16" t="n">
        <x:f>IFERROR(E10-F10,0)</x:f>
        <x:v>2226.1</x:v>
      </x:c>
      <x:c r="H10" s="17" t="n">
        <x:v>0.3153</x:v>
      </x:c>
      <x:c r="I10" s="17" t="n">
        <x:v>0.875</x:v>
      </x:c>
      <x:c r="J10" s="15" t="n">
        <x:v>7</x:v>
      </x:c>
      <x:c r="K10" s="16" t="n">
        <x:v>1741.1</x:v>
      </x:c>
      <x:c r="L10" s="46" t="n">
        <x:v>399</x:v>
      </x:c>
    </x:row>
    <x:row r="11">
      <x:c r="A11" s="14" t="n">
        <x:v>10</x:v>
      </x:c>
      <x:c r="B11" s="15" t="str">
        <x:v>2区</x:v>
      </x:c>
      <x:c r="C11" s="15" t="str">
        <x:v>洛阳泉舜</x:v>
      </x:c>
      <x:c r="D11" s="15" t="str">
        <x:v>王若涵</x:v>
      </x:c>
      <x:c r="E11" s="16" t="n">
        <x:v>8711</x:v>
      </x:c>
      <x:c r="F11" s="16"/>
      <x:c r="G11" s="16" t="n">
        <x:f>IFERROR(E11-F11,0)</x:f>
        <x:v>8711</x:v>
      </x:c>
      <x:c r="H11" s="17" t="n">
        <x:v>0.7918999999999999</x:v>
      </x:c>
      <x:c r="I11" s="17" t="n">
        <x:v>0.8667</x:v>
      </x:c>
      <x:c r="J11" s="15" t="n">
        <x:v>13</x:v>
      </x:c>
      <x:c r="K11" s="16" t="n">
        <x:v>4783</x:v>
      </x:c>
      <x:c r="L11" s="46" t="n">
        <x:v>3493</x:v>
      </x:c>
    </x:row>
    <x:row r="12">
      <x:c r="A12" s="14" t="n">
        <x:v>11</x:v>
      </x:c>
      <x:c r="B12" s="15" t="str">
        <x:v>1区</x:v>
      </x:c>
      <x:c r="C12" s="15" t="str">
        <x:v>南阳万达</x:v>
      </x:c>
      <x:c r="D12" s="15" t="str">
        <x:v>李想</x:v>
      </x:c>
      <x:c r="E12" s="16" t="n">
        <x:v>9070</x:v>
      </x:c>
      <x:c r="F12" s="16" t="n">
        <x:v>12510</x:v>
      </x:c>
      <x:c r="G12" s="16" t="n">
        <x:f>IFERROR(E12-F12,0)</x:f>
        <x:v>-3440</x:v>
      </x:c>
      <x:c r="H12" s="17" t="n">
        <x:v>0.7315</x:v>
      </x:c>
      <x:c r="I12" s="17" t="n">
        <x:v>0.7895</x:v>
      </x:c>
      <x:c r="J12" s="15" t="n">
        <x:v>15</x:v>
      </x:c>
      <x:c r="K12" s="16" t="n">
        <x:v>6650</x:v>
      </x:c>
      <x:c r="L12" s="46" t="n">
        <x:v>1846</x:v>
      </x:c>
    </x:row>
    <x:row r="13">
      <x:c r="A13" s="14" t="n">
        <x:v>12</x:v>
      </x:c>
      <x:c r="B13" s="15" t="str">
        <x:v>1区</x:v>
      </x:c>
      <x:c r="C13" s="15" t="str">
        <x:v>南阳吾悦</x:v>
      </x:c>
      <x:c r="D13" s="15" t="str">
        <x:v>齐继风</x:v>
      </x:c>
      <x:c r="E13" s="16" t="n">
        <x:v>5207</x:v>
      </x:c>
      <x:c r="F13" s="16"/>
      <x:c r="G13" s="16" t="n">
        <x:f>IFERROR(E13-F13,0)</x:f>
        <x:v>5207</x:v>
      </x:c>
      <x:c r="H13" s="17" t="n">
        <x:v>0.4775</x:v>
      </x:c>
      <x:c r="I13" s="17" t="n">
        <x:v>0.7857</x:v>
      </x:c>
      <x:c r="J13" s="15" t="n">
        <x:v>11</x:v>
      </x:c>
      <x:c r="K13" s="16" t="n">
        <x:v>3897</x:v>
      </x:c>
      <x:c r="L13" s="46" t="n">
        <x:v>1000</x:v>
      </x:c>
    </x:row>
    <x:row r="14">
      <x:c r="A14" s="14" t="n">
        <x:v>13</x:v>
      </x:c>
      <x:c r="B14" s="15" t="str">
        <x:v>2区</x:v>
      </x:c>
      <x:c r="C14" s="15" t="str">
        <x:v>郑州惠济万达</x:v>
      </x:c>
      <x:c r="D14" s="15" t="str">
        <x:v>张赛宁</x:v>
      </x:c>
      <x:c r="E14" s="16" t="n">
        <x:v>4750</x:v>
      </x:c>
      <x:c r="F14" s="16" t="n">
        <x:v>2862</x:v>
      </x:c>
      <x:c r="G14" s="16" t="n">
        <x:f>IFERROR(E14-F14,0)</x:f>
        <x:v>1888</x:v>
      </x:c>
      <x:c r="H14" s="17" t="n">
        <x:v>0.4039</x:v>
      </x:c>
      <x:c r="I14" s="17" t="n">
        <x:v>0.75</x:v>
      </x:c>
      <x:c r="J14" s="15" t="n">
        <x:v>9</x:v>
      </x:c>
      <x:c r="K14" s="16" t="n">
        <x:v>3690</x:v>
      </x:c>
      <x:c r="L14" s="46" t="n">
        <x:v>1050</x:v>
      </x:c>
    </x:row>
    <x:row r="15">
      <x:c r="A15" s="14" t="n">
        <x:v>14</x:v>
      </x:c>
      <x:c r="B15" s="15" t="str">
        <x:v>1区</x:v>
      </x:c>
      <x:c r="C15" s="15" t="str">
        <x:v>南阳吾悦</x:v>
      </x:c>
      <x:c r="D15" s="15" t="str">
        <x:v>朱玫卉</x:v>
      </x:c>
      <x:c r="E15" s="16" t="n">
        <x:v>7483</x:v>
      </x:c>
      <x:c r="F15" s="16" t="n">
        <x:v>12765</x:v>
      </x:c>
      <x:c r="G15" s="16" t="n">
        <x:f>IFERROR(E15-F15,0)</x:f>
        <x:v>-5282</x:v>
      </x:c>
      <x:c r="H15" s="17" t="n">
        <x:v>0.5986</x:v>
      </x:c>
      <x:c r="I15" s="17" t="n">
        <x:v>0.7273000000000001</x:v>
      </x:c>
      <x:c r="J15" s="15" t="n">
        <x:v>16</x:v>
      </x:c>
      <x:c r="K15" s="16" t="n">
        <x:v>6553</x:v>
      </x:c>
      <x:c r="L15" s="46" t="n">
        <x:v>400</x:v>
      </x:c>
    </x:row>
    <x:row r="16">
      <x:c r="A16" s="14" t="n">
        <x:v>15</x:v>
      </x:c>
      <x:c r="B16" s="15" t="str">
        <x:v>2区</x:v>
      </x:c>
      <x:c r="C16" s="15" t="str">
        <x:v>焦作万达</x:v>
      </x:c>
      <x:c r="D16" s="15" t="str">
        <x:v>朱笛</x:v>
      </x:c>
      <x:c r="E16" s="16" t="n">
        <x:v>16580</x:v>
      </x:c>
      <x:c r="F16" s="16" t="n">
        <x:v>15286.6</x:v>
      </x:c>
      <x:c r="G16" s="16" t="n">
        <x:f>IFERROR(E16-F16,0)</x:f>
        <x:v>1293.3999999999996</x:v>
      </x:c>
      <x:c r="H16" s="17" t="n">
        <x:v>1.0253</x:v>
      </x:c>
      <x:c r="I16" s="17" t="n">
        <x:v>0.7105</x:v>
      </x:c>
      <x:c r="J16" s="15" t="n">
        <x:v>27</x:v>
      </x:c>
      <x:c r="K16" s="16" t="n">
        <x:v>10658</x:v>
      </x:c>
      <x:c r="L16" s="46" t="n">
        <x:v>5000</x:v>
      </x:c>
    </x:row>
    <x:row r="17">
      <x:c r="A17" s="14" t="n">
        <x:v>16</x:v>
      </x:c>
      <x:c r="B17" s="15" t="str">
        <x:v>1区</x:v>
      </x:c>
      <x:c r="C17" s="15" t="str">
        <x:v>信阳万达</x:v>
      </x:c>
      <x:c r="D17" s="15" t="str">
        <x:v>李立</x:v>
      </x:c>
      <x:c r="E17" s="16" t="n">
        <x:v>12111.5</x:v>
      </x:c>
      <x:c r="F17" s="16" t="n">
        <x:v>8220.7</x:v>
      </x:c>
      <x:c r="G17" s="16" t="n">
        <x:f>IFERROR(E17-F17,0)</x:f>
        <x:v>3890.7999999999993</x:v>
      </x:c>
      <x:c r="H17" s="17" t="n">
        <x:v>1.0093</x:v>
      </x:c>
      <x:c r="I17" s="17" t="n">
        <x:v>0.7082999999999999</x:v>
      </x:c>
      <x:c r="J17" s="15" t="n">
        <x:v>17</x:v>
      </x:c>
      <x:c r="K17" s="16" t="n">
        <x:v>6279.25</x:v>
      </x:c>
      <x:c r="L17" s="46" t="n">
        <x:v>4994.05</x:v>
      </x:c>
    </x:row>
    <x:row r="18">
      <x:c r="A18" s="14" t="n">
        <x:v>17</x:v>
      </x:c>
      <x:c r="B18" s="15" t="str">
        <x:v>1区</x:v>
      </x:c>
      <x:c r="C18" s="15" t="str">
        <x:v>襄阳高新万达</x:v>
      </x:c>
      <x:c r="D18" s="15" t="str">
        <x:v>王爽</x:v>
      </x:c>
      <x:c r="E18" s="16" t="n">
        <x:v>4581</x:v>
      </x:c>
      <x:c r="F18" s="16"/>
      <x:c r="G18" s="16" t="n">
        <x:f>IFERROR(E18-F18,0)</x:f>
        <x:v>4581</x:v>
      </x:c>
      <x:c r="H18" s="17" t="n">
        <x:v>0.8521</x:v>
      </x:c>
      <x:c r="I18" s="17" t="n">
        <x:v>0.7059000000000001</x:v>
      </x:c>
      <x:c r="J18" s="15" t="n">
        <x:v>12</x:v>
      </x:c>
      <x:c r="K18" s="16" t="n">
        <x:v>3758</x:v>
      </x:c>
      <x:c r="L18" s="46" t="n">
        <x:v>400</x:v>
      </x:c>
    </x:row>
    <x:row r="19">
      <x:c r="A19" s="14" t="n">
        <x:v>18</x:v>
      </x:c>
      <x:c r="B19" s="15" t="str">
        <x:v>2区</x:v>
      </x:c>
      <x:c r="C19" s="15" t="str">
        <x:v>洛阳中州万达</x:v>
      </x:c>
      <x:c r="D19" s="15" t="str">
        <x:v>霍亭芮</x:v>
      </x:c>
      <x:c r="E19" s="16" t="n">
        <x:v>2738</x:v>
      </x:c>
      <x:c r="F19" s="16"/>
      <x:c r="G19" s="16" t="n">
        <x:f>IFERROR(E19-F19,0)</x:f>
        <x:v>2738</x:v>
      </x:c>
      <x:c r="H19" s="17" t="n">
        <x:v>0.6084</x:v>
      </x:c>
      <x:c r="I19" s="17" t="n">
        <x:v>0.7</x:v>
      </x:c>
      <x:c r="J19" s="15" t="n">
        <x:v>7</x:v>
      </x:c>
      <x:c r="K19" s="16" t="n">
        <x:v>2234</x:v>
      </x:c>
      <x:c r="L19" s="46" t="n">
        <x:v>200</x:v>
      </x:c>
    </x:row>
    <x:row r="20">
      <x:c r="A20" s="14" t="n">
        <x:v>19</x:v>
      </x:c>
      <x:c r="B20" s="15" t="str">
        <x:v>3区</x:v>
      </x:c>
      <x:c r="C20" s="15" t="str">
        <x:v>郑州中原万达</x:v>
      </x:c>
      <x:c r="D20" s="15" t="str">
        <x:v>杨依梦</x:v>
      </x:c>
      <x:c r="E20" s="16" t="n">
        <x:v>6117.9</x:v>
      </x:c>
      <x:c r="F20" s="16" t="n">
        <x:v>959</x:v>
      </x:c>
      <x:c r="G20" s="16" t="n">
        <x:f>IFERROR(E20-F20,0)</x:f>
        <x:v>5158.9</x:v>
      </x:c>
      <x:c r="H20" s="17" t="n">
        <x:v>0.6118</x:v>
      </x:c>
      <x:c r="I20" s="17" t="n">
        <x:v>0.6667000000000001</x:v>
      </x:c>
      <x:c r="J20" s="15" t="n">
        <x:v>14</x:v>
      </x:c>
      <x:c r="K20" s="16" t="n">
        <x:v>4872.9</x:v>
      </x:c>
      <x:c r="L20" s="46" t="n">
        <x:v>600</x:v>
      </x:c>
    </x:row>
    <x:row r="21">
      <x:c r="A21" s="14" t="n">
        <x:v>20</x:v>
      </x:c>
      <x:c r="B21" s="15" t="str">
        <x:v>2区</x:v>
      </x:c>
      <x:c r="C21" s="15" t="str">
        <x:v>焦作万达</x:v>
      </x:c>
      <x:c r="D21" s="15" t="str">
        <x:v>张强</x:v>
      </x:c>
      <x:c r="E21" s="16" t="n">
        <x:v>5764</x:v>
      </x:c>
      <x:c r="F21" s="16"/>
      <x:c r="G21" s="16" t="n">
        <x:f>IFERROR(E21-F21,0)</x:f>
        <x:v>5764</x:v>
      </x:c>
      <x:c r="H21" s="17" t="n">
        <x:v>0.5703</x:v>
      </x:c>
      <x:c r="I21" s="17" t="n">
        <x:v>0.6667000000000001</x:v>
      </x:c>
      <x:c r="J21" s="15" t="n">
        <x:v>8</x:v>
      </x:c>
      <x:c r="K21" s="16" t="n">
        <x:v>3761</x:v>
      </x:c>
      <x:c r="L21" s="46" t="n">
        <x:v>1600</x:v>
      </x:c>
    </x:row>
    <x:row r="22">
      <x:c r="A22" s="14" t="n">
        <x:v>21</x:v>
      </x:c>
      <x:c r="B22" s="15" t="str">
        <x:v>1区</x:v>
      </x:c>
      <x:c r="C22" s="15" t="str">
        <x:v>南阳万达</x:v>
      </x:c>
      <x:c r="D22" s="15" t="str">
        <x:v>王佳婷</x:v>
      </x:c>
      <x:c r="E22" s="16" t="n">
        <x:v>5485</x:v>
      </x:c>
      <x:c r="F22" s="16"/>
      <x:c r="G22" s="16" t="n">
        <x:f>IFERROR(E22-F22,0)</x:f>
        <x:v>5485</x:v>
      </x:c>
      <x:c r="H22" s="17" t="n">
        <x:v>0.7031999999999999</x:v>
      </x:c>
      <x:c r="I22" s="17" t="n">
        <x:v>0.6667000000000001</x:v>
      </x:c>
      <x:c r="J22" s="15" t="n">
        <x:v>8</x:v>
      </x:c>
      <x:c r="K22" s="16" t="n">
        <x:v>3880</x:v>
      </x:c>
      <x:c r="L22" s="46" t="n">
        <x:v>1000</x:v>
      </x:c>
    </x:row>
    <x:row r="23">
      <x:c r="A23" s="14" t="n">
        <x:v>22</x:v>
      </x:c>
      <x:c r="B23" s="15" t="str">
        <x:v>2区</x:v>
      </x:c>
      <x:c r="C23" s="15" t="str">
        <x:v>洛阳中州万达</x:v>
      </x:c>
      <x:c r="D23" s="15" t="str">
        <x:v>洋洋</x:v>
      </x:c>
      <x:c r="E23" s="16" t="n">
        <x:v>9113</x:v>
      </x:c>
      <x:c r="F23" s="16"/>
      <x:c r="G23" s="16" t="n">
        <x:f>IFERROR(E23-F23,0)</x:f>
        <x:v>9113</x:v>
      </x:c>
      <x:c r="H23" s="17" t="n">
        <x:v>1.3019</x:v>
      </x:c>
      <x:c r="I23" s="17" t="n">
        <x:v>0.6552</x:v>
      </x:c>
      <x:c r="J23" s="15" t="n">
        <x:v>19</x:v>
      </x:c>
      <x:c r="K23" s="16" t="n">
        <x:v>6072</x:v>
      </x:c>
      <x:c r="L23" s="46" t="n">
        <x:v>2200</x:v>
      </x:c>
    </x:row>
    <x:row r="24">
      <x:c r="A24" s="14" t="n">
        <x:v>23</x:v>
      </x:c>
      <x:c r="B24" s="15" t="str">
        <x:v>1区</x:v>
      </x:c>
      <x:c r="C24" s="15" t="str">
        <x:v>商丘万达</x:v>
      </x:c>
      <x:c r="D24" s="15" t="str">
        <x:v>谢航宇</x:v>
      </x:c>
      <x:c r="E24" s="16" t="n">
        <x:v>14700.1</x:v>
      </x:c>
      <x:c r="F24" s="16" t="n">
        <x:v>9062.1</x:v>
      </x:c>
      <x:c r="G24" s="16" t="n">
        <x:f>IFERROR(E24-F24,0)</x:f>
        <x:v>5638</x:v>
      </x:c>
      <x:c r="H24" s="17" t="n">
        <x:v>1.1053</x:v>
      </x:c>
      <x:c r="I24" s="17" t="n">
        <x:v>0.6452</x:v>
      </x:c>
      <x:c r="J24" s="15" t="n">
        <x:v>20</x:v>
      </x:c>
      <x:c r="K24" s="16" t="n">
        <x:v>7747.1</x:v>
      </x:c>
      <x:c r="L24" s="46" t="n">
        <x:v>6035</x:v>
      </x:c>
    </x:row>
    <x:row r="25">
      <x:c r="A25" s="14" t="n">
        <x:v>24</x:v>
      </x:c>
      <x:c r="B25" s="15" t="str">
        <x:v>1区</x:v>
      </x:c>
      <x:c r="C25" s="15" t="str">
        <x:v>襄阳高新万达</x:v>
      </x:c>
      <x:c r="D25" s="15" t="str">
        <x:v>吴嘉丽</x:v>
      </x:c>
      <x:c r="E25" s="16" t="n">
        <x:v>13073</x:v>
      </x:c>
      <x:c r="F25" s="16" t="n">
        <x:v>14106.2</x:v>
      </x:c>
      <x:c r="G25" s="16" t="n">
        <x:f>IFERROR(E25-F25,0)</x:f>
        <x:v>-1033.2000000000007</x:v>
      </x:c>
      <x:c r="H25" s="17" t="n">
        <x:v>0.8820999999999999</x:v>
      </x:c>
      <x:c r="I25" s="17" t="n">
        <x:v>0.6415000000000001</x:v>
      </x:c>
      <x:c r="J25" s="15" t="n">
        <x:v>34</x:v>
      </x:c>
      <x:c r="K25" s="16" t="n">
        <x:v>9862</x:v>
      </x:c>
      <x:c r="L25" s="46" t="n">
        <x:v>1334</x:v>
      </x:c>
    </x:row>
    <x:row r="26">
      <x:c r="A26" s="14" t="n">
        <x:v>25</x:v>
      </x:c>
      <x:c r="B26" s="15" t="str">
        <x:v>3区</x:v>
      </x:c>
      <x:c r="C26" s="15" t="str">
        <x:v>郑州二七万象城</x:v>
      </x:c>
      <x:c r="D26" s="15" t="str">
        <x:v>郑金原</x:v>
      </x:c>
      <x:c r="E26" s="16" t="n">
        <x:v>2550</x:v>
      </x:c>
      <x:c r="F26" s="16"/>
      <x:c r="G26" s="16" t="n">
        <x:f>IFERROR(E26-F26,0)</x:f>
        <x:v>2550</x:v>
      </x:c>
      <x:c r="H26" s="17" t="n">
        <x:v>0.3333</x:v>
      </x:c>
      <x:c r="I26" s="17" t="n">
        <x:v>0.625</x:v>
      </x:c>
      <x:c r="J26" s="15" t="n">
        <x:v>5</x:v>
      </x:c>
      <x:c r="K26" s="16" t="n">
        <x:v>2182</x:v>
      </x:c>
      <x:c r="L26" s="46" t="n">
        <x:v>0</x:v>
      </x:c>
    </x:row>
    <x:row r="27">
      <x:c r="A27" s="14" t="n">
        <x:v>26</x:v>
      </x:c>
      <x:c r="B27" s="15" t="str">
        <x:v>1区</x:v>
      </x:c>
      <x:c r="C27" s="15" t="str">
        <x:v>南阳万达</x:v>
      </x:c>
      <x:c r="D27" s="15" t="str">
        <x:v>徐瑞迎</x:v>
      </x:c>
      <x:c r="E27" s="16" t="n">
        <x:v>2494</x:v>
      </x:c>
      <x:c r="F27" s="16" t="n">
        <x:v>4814</x:v>
      </x:c>
      <x:c r="G27" s="16" t="n">
        <x:f>IFERROR(E27-F27,0)</x:f>
        <x:v>-2320</x:v>
      </x:c>
      <x:c r="H27" s="17" t="n">
        <x:v>0.3563</x:v>
      </x:c>
      <x:c r="I27" s="17" t="n">
        <x:v>0.625</x:v>
      </x:c>
      <x:c r="J27" s="15" t="n">
        <x:v>5</x:v>
      </x:c>
      <x:c r="K27" s="16" t="n">
        <x:v>2084</x:v>
      </x:c>
      <x:c r="L27" s="46" t="n">
        <x:v>400</x:v>
      </x:c>
    </x:row>
    <x:row r="28">
      <x:c r="A28" s="14" t="n">
        <x:v>27</x:v>
      </x:c>
      <x:c r="B28" s="15" t="str">
        <x:v>1区</x:v>
      </x:c>
      <x:c r="C28" s="15" t="str">
        <x:v>襄阳高新万达</x:v>
      </x:c>
      <x:c r="D28" s="15" t="str">
        <x:v>倪书馨</x:v>
      </x:c>
      <x:c r="E28" s="16" t="n">
        <x:v>14469.2</x:v>
      </x:c>
      <x:c r="F28" s="16" t="n">
        <x:v>12392</x:v>
      </x:c>
      <x:c r="G28" s="16" t="n">
        <x:f>IFERROR(E28-F28,0)</x:f>
        <x:v>2077.2000000000007</x:v>
      </x:c>
      <x:c r="H28" s="17" t="n">
        <x:v>0.9763</x:v>
      </x:c>
      <x:c r="I28" s="17" t="n">
        <x:v>0.6</x:v>
      </x:c>
      <x:c r="J28" s="15" t="n">
        <x:v>30</x:v>
      </x:c>
      <x:c r="K28" s="16" t="n">
        <x:v>11338</x:v>
      </x:c>
      <x:c r="L28" s="46" t="n">
        <x:v>999</x:v>
      </x:c>
    </x:row>
    <x:row r="29">
      <x:c r="A29" s="14" t="n">
        <x:v>28</x:v>
      </x:c>
      <x:c r="B29" s="15" t="str">
        <x:v>3区</x:v>
      </x:c>
      <x:c r="C29" s="15" t="str">
        <x:v>武汉荟聚</x:v>
      </x:c>
      <x:c r="D29" s="15" t="str">
        <x:v>邵娜娜</x:v>
      </x:c>
      <x:c r="E29" s="16" t="n">
        <x:v>10736.55</x:v>
      </x:c>
      <x:c r="F29" s="16" t="n">
        <x:v>6784.95</x:v>
      </x:c>
      <x:c r="G29" s="16" t="n">
        <x:f>IFERROR(E29-F29,0)</x:f>
        <x:v>3951.5999999999995</x:v>
      </x:c>
      <x:c r="H29" s="17" t="n">
        <x:v>0.6547</x:v>
      </x:c>
      <x:c r="I29" s="17" t="n">
        <x:v>0.5806</x:v>
      </x:c>
      <x:c r="J29" s="15" t="n">
        <x:v>18</x:v>
      </x:c>
      <x:c r="K29" s="16" t="n">
        <x:v>7386</x:v>
      </x:c>
      <x:c r="L29" s="46" t="n">
        <x:v>1000</x:v>
      </x:c>
    </x:row>
    <x:row r="30">
      <x:c r="A30" s="14" t="n">
        <x:v>29</x:v>
      </x:c>
      <x:c r="B30" s="15" t="str">
        <x:v>1区</x:v>
      </x:c>
      <x:c r="C30" s="15" t="str">
        <x:v>南阳吾悦</x:v>
      </x:c>
      <x:c r="D30" s="15" t="str">
        <x:v>樊鑫</x:v>
      </x:c>
      <x:c r="E30" s="16" t="n">
        <x:v>8556</x:v>
      </x:c>
      <x:c r="F30" s="16" t="n">
        <x:v>10590</x:v>
      </x:c>
      <x:c r="G30" s="16" t="n">
        <x:f>IFERROR(E30-F30,0)</x:f>
        <x:v>-2034</x:v>
      </x:c>
      <x:c r="H30" s="17" t="n">
        <x:v>0.6845</x:v>
      </x:c>
      <x:c r="I30" s="17" t="n">
        <x:v>0.5714</x:v>
      </x:c>
      <x:c r="J30" s="15" t="n">
        <x:v>16</x:v>
      </x:c>
      <x:c r="K30" s="16" t="n">
        <x:v>6469</x:v>
      </x:c>
      <x:c r="L30" s="46" t="n">
        <x:v>700</x:v>
      </x:c>
    </x:row>
    <x:row r="31">
      <x:c r="A31" s="14" t="n">
        <x:v>30</x:v>
      </x:c>
      <x:c r="B31" s="15" t="str">
        <x:v>3区</x:v>
      </x:c>
      <x:c r="C31" s="15" t="str">
        <x:v>开封万达</x:v>
      </x:c>
      <x:c r="D31" s="15" t="str">
        <x:v>李紫琪</x:v>
      </x:c>
      <x:c r="E31" s="16" t="n">
        <x:v>18454</x:v>
      </x:c>
      <x:c r="F31" s="16" t="n">
        <x:v>10680</x:v>
      </x:c>
      <x:c r="G31" s="16" t="n">
        <x:f>IFERROR(E31-F31,0)</x:f>
        <x:v>7774</x:v>
      </x:c>
      <x:c r="H31" s="17" t="n">
        <x:v>1.4417</x:v>
      </x:c>
      <x:c r="I31" s="17" t="n">
        <x:v>0.5667</x:v>
      </x:c>
      <x:c r="J31" s="15" t="n">
        <x:v>34</x:v>
      </x:c>
      <x:c r="K31" s="16" t="n">
        <x:v>13132</x:v>
      </x:c>
      <x:c r="L31" s="46" t="n">
        <x:v>2400</x:v>
      </x:c>
    </x:row>
    <x:row r="32">
      <x:c r="A32" s="14" t="n">
        <x:v>31</x:v>
      </x:c>
      <x:c r="B32" s="15" t="str">
        <x:v>2区</x:v>
      </x:c>
      <x:c r="C32" s="15" t="str">
        <x:v>洛阳中州万达</x:v>
      </x:c>
      <x:c r="D32" s="15" t="str">
        <x:v>党燕燕</x:v>
      </x:c>
      <x:c r="E32" s="16" t="n">
        <x:v>11860</x:v>
      </x:c>
      <x:c r="F32" s="16"/>
      <x:c r="G32" s="16" t="n">
        <x:f>IFERROR(E32-F32,0)</x:f>
        <x:v>11860</x:v>
      </x:c>
      <x:c r="H32" s="17" t="n">
        <x:v>1.186</x:v>
      </x:c>
      <x:c r="I32" s="17" t="n">
        <x:v>0.5640999999999999</x:v>
      </x:c>
      <x:c r="J32" s="15" t="n">
        <x:v>22</x:v>
      </x:c>
      <x:c r="K32" s="16" t="n">
        <x:v>6979</x:v>
      </x:c>
      <x:c r="L32" s="46" t="n">
        <x:v>3185</x:v>
      </x:c>
    </x:row>
    <x:row r="33">
      <x:c r="A33" s="14" t="n">
        <x:v>32</x:v>
      </x:c>
      <x:c r="B33" s="15" t="str">
        <x:v>1区</x:v>
      </x:c>
      <x:c r="C33" s="15" t="str">
        <x:v>许昌魏都万达</x:v>
      </x:c>
      <x:c r="D33" s="15" t="str">
        <x:v>吉祥</x:v>
      </x:c>
      <x:c r="E33" s="16" t="n">
        <x:v>10680</x:v>
      </x:c>
      <x:c r="F33" s="16" t="n">
        <x:v>11110</x:v>
      </x:c>
      <x:c r="G33" s="16" t="n">
        <x:f>IFERROR(E33-F33,0)</x:f>
        <x:v>-430</x:v>
      </x:c>
      <x:c r="H33" s="17" t="n">
        <x:v>0.8042</x:v>
      </x:c>
      <x:c r="I33" s="17" t="n">
        <x:v>0.56</x:v>
      </x:c>
      <x:c r="J33" s="15" t="n">
        <x:v>14</x:v>
      </x:c>
      <x:c r="K33" s="16" t="n">
        <x:v>5670</x:v>
      </x:c>
      <x:c r="L33" s="46" t="n">
        <x:v>4000</x:v>
      </x:c>
    </x:row>
    <x:row r="34">
      <x:c r="A34" s="14" t="n">
        <x:v>33</x:v>
      </x:c>
      <x:c r="B34" s="15" t="str">
        <x:v>2区</x:v>
      </x:c>
      <x:c r="C34" s="15" t="str">
        <x:v>洛阳泉舜</x:v>
      </x:c>
      <x:c r="D34" s="15" t="str">
        <x:v>杨翠鸽</x:v>
      </x:c>
      <x:c r="E34" s="16" t="n">
        <x:v>5383</x:v>
      </x:c>
      <x:c r="F34" s="16" t="n">
        <x:v>10104.2</x:v>
      </x:c>
      <x:c r="G34" s="16" t="n">
        <x:f>IFERROR(E34-F34,0)</x:f>
        <x:v>-4721.200000000001</x:v>
      </x:c>
      <x:c r="H34" s="17" t="n">
        <x:v>0.3845</x:v>
      </x:c>
      <x:c r="I34" s="17" t="n">
        <x:v>0.5556</x:v>
      </x:c>
      <x:c r="J34" s="15" t="n">
        <x:v>10</x:v>
      </x:c>
      <x:c r="K34" s="16" t="n">
        <x:v>3988</x:v>
      </x:c>
      <x:c r="L34" s="46" t="n">
        <x:v>1000</x:v>
      </x:c>
    </x:row>
    <x:row r="35">
      <x:c r="A35" s="14" t="n">
        <x:v>34</x:v>
      </x:c>
      <x:c r="B35" s="15" t="str">
        <x:v>1区</x:v>
      </x:c>
      <x:c r="C35" s="15" t="str">
        <x:v>许昌魏都万达</x:v>
      </x:c>
      <x:c r="D35" s="15" t="str">
        <x:v>孙灼柱</x:v>
      </x:c>
      <x:c r="E35" s="16" t="n">
        <x:v>7654.2</x:v>
      </x:c>
      <x:c r="F35" s="16"/>
      <x:c r="G35" s="16" t="n">
        <x:f>IFERROR(E35-F35,0)</x:f>
        <x:v>7654.2</x:v>
      </x:c>
      <x:c r="H35" s="17" t="n">
        <x:v>0.6968000000000001</x:v>
      </x:c>
      <x:c r="I35" s="17" t="n">
        <x:v>0.5263</x:v>
      </x:c>
      <x:c r="J35" s="15" t="n">
        <x:v>10</x:v>
      </x:c>
      <x:c r="K35" s="16" t="n">
        <x:v>4069</x:v>
      </x:c>
      <x:c r="L35" s="46" t="n">
        <x:v>2800</x:v>
      </x:c>
    </x:row>
    <x:row r="36">
      <x:c r="A36" s="14" t="n">
        <x:v>35</x:v>
      </x:c>
      <x:c r="B36" s="15" t="str">
        <x:v>2区</x:v>
      </x:c>
      <x:c r="C36" s="15" t="str">
        <x:v>周口万达</x:v>
      </x:c>
      <x:c r="D36" s="15" t="str">
        <x:v>冯瀚文</x:v>
      </x:c>
      <x:c r="E36" s="16" t="n">
        <x:v>6940</x:v>
      </x:c>
      <x:c r="F36" s="16" t="n">
        <x:v>5599.2</x:v>
      </x:c>
      <x:c r="G36" s="16" t="n">
        <x:f>IFERROR(E36-F36,0)</x:f>
        <x:v>1340.8000000000002</x:v>
      </x:c>
      <x:c r="H36" s="17" t="n">
        <x:v>0.9728</x:v>
      </x:c>
      <x:c r="I36" s="17" t="n">
        <x:v>0.52</x:v>
      </x:c>
      <x:c r="J36" s="15" t="n">
        <x:v>13</x:v>
      </x:c>
      <x:c r="K36" s="16" t="n">
        <x:v>3986</x:v>
      </x:c>
      <x:c r="L36" s="46" t="n">
        <x:v>1949</x:v>
      </x:c>
    </x:row>
    <x:row r="37">
      <x:c r="A37" s="14" t="n">
        <x:v>36</x:v>
      </x:c>
      <x:c r="B37" s="15" t="str">
        <x:v>2区</x:v>
      </x:c>
      <x:c r="C37" s="15" t="str">
        <x:v>焦作万达</x:v>
      </x:c>
      <x:c r="D37" s="15" t="str">
        <x:v>王梓恬</x:v>
      </x:c>
      <x:c r="E37" s="16" t="n">
        <x:v>12372.4</x:v>
      </x:c>
      <x:c r="F37" s="16" t="n">
        <x:v>10165</x:v>
      </x:c>
      <x:c r="G37" s="16" t="n">
        <x:f>IFERROR(E37-F37,0)</x:f>
        <x:v>2207.3999999999996</x:v>
      </x:c>
      <x:c r="H37" s="17" t="n">
        <x:v>0.8745</x:v>
      </x:c>
      <x:c r="I37" s="17" t="n">
        <x:v>0.5111</x:v>
      </x:c>
      <x:c r="J37" s="15" t="n">
        <x:v>23</x:v>
      </x:c>
      <x:c r="K37" s="16" t="n">
        <x:v>8311</x:v>
      </x:c>
      <x:c r="L37" s="46" t="n">
        <x:v>2000</x:v>
      </x:c>
    </x:row>
    <x:row r="38">
      <x:c r="A38" s="14" t="n">
        <x:v>37</x:v>
      </x:c>
      <x:c r="B38" s="15" t="str">
        <x:v>3区</x:v>
      </x:c>
      <x:c r="C38" s="15" t="str">
        <x:v>郑州二七万象城</x:v>
      </x:c>
      <x:c r="D38" s="15" t="str">
        <x:v>橙子</x:v>
      </x:c>
      <x:c r="E38" s="16" t="n">
        <x:v>11777</x:v>
      </x:c>
      <x:c r="F38" s="16" t="n">
        <x:v>13084.9</x:v>
      </x:c>
      <x:c r="G38" s="16" t="n">
        <x:f>IFERROR(E38-F38,0)</x:f>
        <x:v>-1307.8999999999996</x:v>
      </x:c>
      <x:c r="H38" s="17" t="n">
        <x:v>0.9273</x:v>
      </x:c>
      <x:c r="I38" s="17" t="n">
        <x:v>0.5</x:v>
      </x:c>
      <x:c r="J38" s="15" t="n">
        <x:v>21</x:v>
      </x:c>
      <x:c r="K38" s="16" t="n">
        <x:v>7121</x:v>
      </x:c>
      <x:c r="L38" s="46" t="n">
        <x:v>2700</x:v>
      </x:c>
    </x:row>
    <x:row r="39">
      <x:c r="A39" s="14" t="n">
        <x:v>38</x:v>
      </x:c>
      <x:c r="B39" s="15" t="str">
        <x:v>3区</x:v>
      </x:c>
      <x:c r="C39" s="15" t="str">
        <x:v>武汉荟聚</x:v>
      </x:c>
      <x:c r="D39" s="15" t="str">
        <x:v>周坤琪</x:v>
      </x:c>
      <x:c r="E39" s="16" t="n">
        <x:v>11207.05</x:v>
      </x:c>
      <x:c r="F39" s="16"/>
      <x:c r="G39" s="16" t="n">
        <x:f>IFERROR(E39-F39,0)</x:f>
        <x:v>11207.05</x:v>
      </x:c>
      <x:c r="H39" s="17" t="n">
        <x:v>1.4009</x:v>
      </x:c>
      <x:c r="I39" s="17" t="n">
        <x:v>0.5</x:v>
      </x:c>
      <x:c r="J39" s="15" t="n">
        <x:v>18</x:v>
      </x:c>
      <x:c r="K39" s="16" t="n">
        <x:v>7667</x:v>
      </x:c>
      <x:c r="L39" s="46" t="n">
        <x:v>0</x:v>
      </x:c>
    </x:row>
    <x:row r="40">
      <x:c r="A40" s="14" t="n">
        <x:v>39</x:v>
      </x:c>
      <x:c r="B40" s="15" t="str">
        <x:v>1区</x:v>
      </x:c>
      <x:c r="C40" s="15" t="str">
        <x:v>商丘万达</x:v>
      </x:c>
      <x:c r="D40" s="15" t="str">
        <x:v>李桃</x:v>
      </x:c>
      <x:c r="E40" s="16" t="n">
        <x:v>5088.05</x:v>
      </x:c>
      <x:c r="F40" s="16"/>
      <x:c r="G40" s="16" t="n">
        <x:f>IFERROR(E40-F40,0)</x:f>
        <x:v>5088.05</x:v>
      </x:c>
      <x:c r="H40" s="17" t="n">
        <x:v>0.6501</x:v>
      </x:c>
      <x:c r="I40" s="17" t="n">
        <x:v>0.5</x:v>
      </x:c>
      <x:c r="J40" s="15" t="n">
        <x:v>6</x:v>
      </x:c>
      <x:c r="K40" s="16" t="n">
        <x:v>1961.05</x:v>
      </x:c>
      <x:c r="L40" s="46" t="n">
        <x:v>2394</x:v>
      </x:c>
    </x:row>
    <x:row r="41">
      <x:c r="A41" s="14" t="n">
        <x:v>40</x:v>
      </x:c>
      <x:c r="B41" s="15" t="str">
        <x:v>1区</x:v>
      </x:c>
      <x:c r="C41" s="15" t="str">
        <x:v>南阳吾悦</x:v>
      </x:c>
      <x:c r="D41" s="15" t="str">
        <x:v>蔺海芬</x:v>
      </x:c>
      <x:c r="E41" s="16" t="n">
        <x:v>1012</x:v>
      </x:c>
      <x:c r="F41" s="16" t="n">
        <x:v>1953</x:v>
      </x:c>
      <x:c r="G41" s="16" t="n">
        <x:f>IFERROR(E41-F41,0)</x:f>
        <x:v>-941</x:v>
      </x:c>
      <x:c r="H41" s="17" t="n">
        <x:v>0</x:v>
      </x:c>
      <x:c r="I41" s="17" t="n">
        <x:v>0.5</x:v>
      </x:c>
      <x:c r="J41" s="15" t="n">
        <x:v>2</x:v>
      </x:c>
      <x:c r="K41" s="16" t="n">
        <x:v>788</x:v>
      </x:c>
      <x:c r="L41" s="46" t="n">
        <x:v>0</x:v>
      </x:c>
    </x:row>
    <x:row r="42">
      <x:c r="A42" s="14" t="n">
        <x:v>41</x:v>
      </x:c>
      <x:c r="B42" s="15" t="str">
        <x:v>3区</x:v>
      </x:c>
      <x:c r="C42" s="15" t="str">
        <x:v>郑州美盛天街</x:v>
      </x:c>
      <x:c r="D42" s="15" t="str">
        <x:v>薛飘飘</x:v>
      </x:c>
      <x:c r="E42" s="16" t="n">
        <x:v>15583.01</x:v>
      </x:c>
      <x:c r="F42" s="16" t="n">
        <x:v>4174</x:v>
      </x:c>
      <x:c r="G42" s="16" t="n">
        <x:f>IFERROR(E42-F42,0)</x:f>
        <x:v>11409.01</x:v>
      </x:c>
      <x:c r="H42" s="17" t="n">
        <x:v>0.6842</x:v>
      </x:c>
      <x:c r="I42" s="17" t="n">
        <x:v>0.4878</x:v>
      </x:c>
      <x:c r="J42" s="15" t="n">
        <x:v>20</x:v>
      </x:c>
      <x:c r="K42" s="16" t="n">
        <x:v>10357</x:v>
      </x:c>
      <x:c r="L42" s="46" t="n">
        <x:v>3287</x:v>
      </x:c>
    </x:row>
    <x:row r="43">
      <x:c r="A43" s="14" t="n">
        <x:v>42</x:v>
      </x:c>
      <x:c r="B43" s="15" t="str">
        <x:v>3区</x:v>
      </x:c>
      <x:c r="C43" s="15" t="str">
        <x:v>开封万达</x:v>
      </x:c>
      <x:c r="D43" s="15" t="str">
        <x:v>易梦婷</x:v>
      </x:c>
      <x:c r="E43" s="16" t="n">
        <x:v>14255</x:v>
      </x:c>
      <x:c r="F43" s="16" t="n">
        <x:v>12640.6</x:v>
      </x:c>
      <x:c r="G43" s="16" t="n">
        <x:f>IFERROR(E43-F43,0)</x:f>
        <x:v>1614.3999999999996</x:v>
      </x:c>
      <x:c r="H43" s="17" t="n">
        <x:v>1.1137000000000001</x:v>
      </x:c>
      <x:c r="I43" s="17" t="n">
        <x:v>0.4808</x:v>
      </x:c>
      <x:c r="J43" s="15" t="n">
        <x:v>25</x:v>
      </x:c>
      <x:c r="K43" s="16" t="n">
        <x:v>10249</x:v>
      </x:c>
      <x:c r="L43" s="46" t="n">
        <x:v>1400</x:v>
      </x:c>
    </x:row>
    <x:row r="44">
      <x:c r="A44" s="14" t="n">
        <x:v>43</x:v>
      </x:c>
      <x:c r="B44" s="15" t="str">
        <x:v>3区</x:v>
      </x:c>
      <x:c r="C44" s="15" t="str">
        <x:v>安阳滑县吾悦</x:v>
      </x:c>
      <x:c r="D44" s="15" t="str">
        <x:v>汤明放</x:v>
      </x:c>
      <x:c r="E44" s="16" t="n">
        <x:v>4264</x:v>
      </x:c>
      <x:c r="F44" s="16"/>
      <x:c r="G44" s="16" t="n">
        <x:f>IFERROR(E44-F44,0)</x:f>
        <x:v>4264</x:v>
      </x:c>
      <x:c r="H44" s="17" t="n">
        <x:v>0.5134000000000001</x:v>
      </x:c>
      <x:c r="I44" s="17" t="n">
        <x:v>0.4583</x:v>
      </x:c>
      <x:c r="J44" s="15" t="n">
        <x:v>11</x:v>
      </x:c>
      <x:c r="K44" s="16" t="n">
        <x:v>3282</x:v>
      </x:c>
      <x:c r="L44" s="46" t="n">
        <x:v>0</x:v>
      </x:c>
    </x:row>
    <x:row r="45">
      <x:c r="A45" s="14" t="n">
        <x:v>44</x:v>
      </x:c>
      <x:c r="B45" s="15" t="str">
        <x:v>3区</x:v>
      </x:c>
      <x:c r="C45" s="15" t="str">
        <x:v>武汉荟聚</x:v>
      </x:c>
      <x:c r="D45" s="15" t="str">
        <x:v>李苗壮</x:v>
      </x:c>
      <x:c r="E45" s="16" t="n">
        <x:v>11526.75</x:v>
      </x:c>
      <x:c r="F45" s="16"/>
      <x:c r="G45" s="16" t="n">
        <x:f>IFERROR(E45-F45,0)</x:f>
        <x:v>11526.75</x:v>
      </x:c>
      <x:c r="H45" s="17" t="n">
        <x:v>0.7736</x:v>
      </x:c>
      <x:c r="I45" s="17" t="n">
        <x:v>0.4545</x:v>
      </x:c>
      <x:c r="J45" s="15" t="n">
        <x:v>20</x:v>
      </x:c>
      <x:c r="K45" s="16" t="n">
        <x:v>8071</x:v>
      </x:c>
      <x:c r="L45" s="46" t="n">
        <x:v>600</x:v>
      </x:c>
    </x:row>
    <x:row r="46">
      <x:c r="A46" s="14" t="n">
        <x:v>45</x:v>
      </x:c>
      <x:c r="B46" s="15" t="str">
        <x:v>2区</x:v>
      </x:c>
      <x:c r="C46" s="15" t="str">
        <x:v>郑州惠济万达</x:v>
      </x:c>
      <x:c r="D46" s="15" t="str">
        <x:v>杜珂源</x:v>
      </x:c>
      <x:c r="E46" s="16" t="n">
        <x:v>2897</x:v>
      </x:c>
      <x:c r="F46" s="16" t="n">
        <x:v>5408</x:v>
      </x:c>
      <x:c r="G46" s="16" t="n">
        <x:f>IFERROR(E46-F46,0)</x:f>
        <x:v>-2511</x:v>
      </x:c>
      <x:c r="H46" s="17" t="n">
        <x:v>0.2692</x:v>
      </x:c>
      <x:c r="I46" s="17" t="n">
        <x:v>0.4545</x:v>
      </x:c>
      <x:c r="J46" s="15" t="n">
        <x:v>5</x:v>
      </x:c>
      <x:c r="K46" s="16" t="n">
        <x:v>1891</x:v>
      </x:c>
      <x:c r="L46" s="46" t="n">
        <x:v>388</x:v>
      </x:c>
    </x:row>
    <x:row r="47">
      <x:c r="A47" s="14" t="n">
        <x:v>46</x:v>
      </x:c>
      <x:c r="B47" s="15" t="str">
        <x:v>3区</x:v>
      </x:c>
      <x:c r="C47" s="15" t="str">
        <x:v>郑州二七万象城</x:v>
      </x:c>
      <x:c r="D47" s="15" t="str">
        <x:v>夏佳静</x:v>
      </x:c>
      <x:c r="E47" s="16" t="n">
        <x:v>8397</x:v>
      </x:c>
      <x:c r="F47" s="16" t="n">
        <x:v>10041</x:v>
      </x:c>
      <x:c r="G47" s="16" t="n">
        <x:f>IFERROR(E47-F47,0)</x:f>
        <x:v>-1644</x:v>
      </x:c>
      <x:c r="H47" s="17" t="n">
        <x:v>0.6940000000000001</x:v>
      </x:c>
      <x:c r="I47" s="17" t="n">
        <x:v>0.4375</x:v>
      </x:c>
      <x:c r="J47" s="15" t="n">
        <x:v>14</x:v>
      </x:c>
      <x:c r="K47" s="16" t="n">
        <x:v>6634</x:v>
      </x:c>
      <x:c r="L47" s="46" t="n">
        <x:v>0</x:v>
      </x:c>
    </x:row>
    <x:row r="48">
      <x:c r="A48" s="14" t="n">
        <x:v>47</x:v>
      </x:c>
      <x:c r="B48" s="15" t="str">
        <x:v>2区</x:v>
      </x:c>
      <x:c r="C48" s="15" t="str">
        <x:v>郑州信万</x:v>
      </x:c>
      <x:c r="D48" s="15" t="str">
        <x:v>余心如</x:v>
      </x:c>
      <x:c r="E48" s="16" t="n">
        <x:v>4981</x:v>
      </x:c>
      <x:c r="F48" s="16" t="n">
        <x:v>5899</x:v>
      </x:c>
      <x:c r="G48" s="16" t="n">
        <x:f>IFERROR(E48-F48,0)</x:f>
        <x:v>-918</x:v>
      </x:c>
      <x:c r="H48" s="17" t="n">
        <x:v>0.6225999999999999</x:v>
      </x:c>
      <x:c r="I48" s="17" t="n">
        <x:v>0.4375</x:v>
      </x:c>
      <x:c r="J48" s="15" t="n">
        <x:v>7</x:v>
      </x:c>
      <x:c r="K48" s="16" t="n">
        <x:v>3291</x:v>
      </x:c>
      <x:c r="L48" s="46" t="n">
        <x:v>1000</x:v>
      </x:c>
    </x:row>
    <x:row r="49">
      <x:c r="A49" s="14" t="n">
        <x:v>48</x:v>
      </x:c>
      <x:c r="B49" s="15" t="str">
        <x:v>2区</x:v>
      </x:c>
      <x:c r="C49" s="15" t="str">
        <x:v>洛阳泉舜</x:v>
      </x:c>
      <x:c r="D49" s="15" t="str">
        <x:v>关旭闳</x:v>
      </x:c>
      <x:c r="E49" s="16" t="n">
        <x:v>13806</x:v>
      </x:c>
      <x:c r="F49" s="16"/>
      <x:c r="G49" s="16" t="n">
        <x:f>IFERROR(E49-F49,0)</x:f>
        <x:v>13806</x:v>
      </x:c>
      <x:c r="H49" s="17" t="n">
        <x:v>0.9861</x:v>
      </x:c>
      <x:c r="I49" s="17" t="n">
        <x:v>0.4359</x:v>
      </x:c>
      <x:c r="J49" s="15" t="n">
        <x:v>17</x:v>
      </x:c>
      <x:c r="K49" s="16" t="n">
        <x:v>7039</x:v>
      </x:c>
      <x:c r="L49" s="46" t="n">
        <x:v>4300</x:v>
      </x:c>
    </x:row>
    <x:row r="50">
      <x:c r="A50" s="14" t="n">
        <x:v>49</x:v>
      </x:c>
      <x:c r="B50" s="15" t="str">
        <x:v>3区</x:v>
      </x:c>
      <x:c r="C50" s="15" t="str">
        <x:v>郑州中原万达</x:v>
      </x:c>
      <x:c r="D50" s="15" t="str">
        <x:v>张茹</x:v>
      </x:c>
      <x:c r="E50" s="16" t="n">
        <x:v>6553</x:v>
      </x:c>
      <x:c r="F50" s="16" t="n">
        <x:v>6306</x:v>
      </x:c>
      <x:c r="G50" s="16" t="n">
        <x:f>IFERROR(E50-F50,0)</x:f>
        <x:v>247</x:v>
      </x:c>
      <x:c r="H50" s="17" t="n">
        <x:v>0.6553</x:v>
      </x:c>
      <x:c r="I50" s="17" t="n">
        <x:v>0.43479999999999996</x:v>
      </x:c>
      <x:c r="J50" s="15" t="n">
        <x:v>10</x:v>
      </x:c>
      <x:c r="K50" s="16" t="n">
        <x:v>4370</x:v>
      </x:c>
      <x:c r="L50" s="46" t="n">
        <x:v>1000</x:v>
      </x:c>
    </x:row>
    <x:row r="51">
      <x:c r="A51" s="14" t="n">
        <x:v>50</x:v>
      </x:c>
      <x:c r="B51" s="15" t="str">
        <x:v>3区</x:v>
      </x:c>
      <x:c r="C51" s="15" t="str">
        <x:v>武汉武昌万象城</x:v>
      </x:c>
      <x:c r="D51" s="15" t="str">
        <x:v>王艺</x:v>
      </x:c>
      <x:c r="E51" s="16" t="n">
        <x:v>3148</x:v>
      </x:c>
      <x:c r="F51" s="16"/>
      <x:c r="G51" s="16" t="n">
        <x:f>IFERROR(E51-F51,0)</x:f>
        <x:v>3148</x:v>
      </x:c>
      <x:c r="H51" s="17" t="n">
        <x:v>2.0987</x:v>
      </x:c>
      <x:c r="I51" s="17" t="n">
        <x:v>0.4286</x:v>
      </x:c>
      <x:c r="J51" s="15" t="n">
        <x:v>3</x:v>
      </x:c>
      <x:c r="K51" s="16" t="n">
        <x:v>1756</x:v>
      </x:c>
      <x:c r="L51" s="46" t="n">
        <x:v>1000</x:v>
      </x:c>
    </x:row>
    <x:row r="52">
      <x:c r="A52" s="14" t="n">
        <x:v>51</x:v>
      </x:c>
      <x:c r="B52" s="15" t="str">
        <x:v>3区</x:v>
      </x:c>
      <x:c r="C52" s="15" t="str">
        <x:v>安阳万达</x:v>
      </x:c>
      <x:c r="D52" s="15" t="str">
        <x:v>杨晶晶</x:v>
      </x:c>
      <x:c r="E52" s="16" t="n">
        <x:v>5450</x:v>
      </x:c>
      <x:c r="F52" s="16" t="n">
        <x:v>5037</x:v>
      </x:c>
      <x:c r="G52" s="16" t="n">
        <x:f>IFERROR(E52-F52,0)</x:f>
        <x:v>413</x:v>
      </x:c>
      <x:c r="H52" s="17" t="n">
        <x:v>0.5143</x:v>
      </x:c>
      <x:c r="I52" s="17" t="n">
        <x:v>0.4</x:v>
      </x:c>
      <x:c r="J52" s="15" t="n">
        <x:v>8</x:v>
      </x:c>
      <x:c r="K52" s="16" t="n">
        <x:v>3980</x:v>
      </x:c>
      <x:c r="L52" s="46" t="n">
        <x:v>400</x:v>
      </x:c>
    </x:row>
    <x:row r="53">
      <x:c r="A53" s="14" t="n">
        <x:v>52</x:v>
      </x:c>
      <x:c r="B53" s="15" t="str">
        <x:v>2区</x:v>
      </x:c>
      <x:c r="C53" s="15" t="str">
        <x:v>周口万达</x:v>
      </x:c>
      <x:c r="D53" s="15" t="str">
        <x:v>杨宁可</x:v>
      </x:c>
      <x:c r="E53" s="16" t="n">
        <x:v>3554</x:v>
      </x:c>
      <x:c r="F53" s="16"/>
      <x:c r="G53" s="16" t="n">
        <x:f>IFERROR(E53-F53,0)</x:f>
        <x:v>3554</x:v>
      </x:c>
      <x:c r="H53" s="17" t="n">
        <x:v>0.581</x:v>
      </x:c>
      <x:c r="I53" s="17" t="n">
        <x:v>0.35710000000000003</x:v>
      </x:c>
      <x:c r="J53" s="15" t="n">
        <x:v>5</x:v>
      </x:c>
      <x:c r="K53" s="16" t="n">
        <x:v>1577</x:v>
      </x:c>
      <x:c r="L53" s="46" t="n">
        <x:v>1099</x:v>
      </x:c>
    </x:row>
    <x:row r="54">
      <x:c r="A54" s="14" t="n">
        <x:v>53</x:v>
      </x:c>
      <x:c r="B54" s="15" t="str">
        <x:v>2区</x:v>
      </x:c>
      <x:c r="C54" s="15" t="str">
        <x:v>周口万达</x:v>
      </x:c>
      <x:c r="D54" s="15" t="str">
        <x:v>郑梦婷</x:v>
      </x:c>
      <x:c r="E54" s="16" t="n">
        <x:v>7291</x:v>
      </x:c>
      <x:c r="F54" s="16" t="n">
        <x:v>5013.2</x:v>
      </x:c>
      <x:c r="G54" s="16" t="n">
        <x:f>IFERROR(E54-F54,0)</x:f>
        <x:v>2277.8</x:v>
      </x:c>
      <x:c r="H54" s="17" t="n">
        <x:v>1.022</x:v>
      </x:c>
      <x:c r="I54" s="17" t="n">
        <x:v>0.34380000000000005</x:v>
      </x:c>
      <x:c r="J54" s="15" t="n">
        <x:v>11</x:v>
      </x:c>
      <x:c r="K54" s="16" t="n">
        <x:v>4031</x:v>
      </x:c>
      <x:c r="L54" s="46" t="n">
        <x:v>1500</x:v>
      </x:c>
    </x:row>
    <x:row r="55">
      <x:c r="A55" s="14" t="n">
        <x:v>54</x:v>
      </x:c>
      <x:c r="B55" s="15" t="str">
        <x:v>2区</x:v>
      </x:c>
      <x:c r="C55" s="15" t="str">
        <x:v>新乡万达</x:v>
      </x:c>
      <x:c r="D55" s="15" t="str">
        <x:v>贵诗涵</x:v>
      </x:c>
      <x:c r="E55" s="16" t="n">
        <x:v>3477</x:v>
      </x:c>
      <x:c r="F55" s="16"/>
      <x:c r="G55" s="16" t="n">
        <x:f>IFERROR(E55-F55,0)</x:f>
        <x:v>3477</x:v>
      </x:c>
      <x:c r="H55" s="17" t="n">
        <x:v>0.4439</x:v>
      </x:c>
      <x:c r="I55" s="17" t="n">
        <x:v>0.3333</x:v>
      </x:c>
      <x:c r="J55" s="15" t="n">
        <x:v>3</x:v>
      </x:c>
      <x:c r="K55" s="16" t="n">
        <x:v>1465</x:v>
      </x:c>
      <x:c r="L55" s="46" t="n">
        <x:v>1400</x:v>
      </x:c>
    </x:row>
    <x:row r="56">
      <x:c r="A56" s="14" t="n">
        <x:v>55</x:v>
      </x:c>
      <x:c r="B56" s="15" t="str">
        <x:v>3区</x:v>
      </x:c>
      <x:c r="C56" s="15" t="str">
        <x:v>郑州中原万达</x:v>
      </x:c>
      <x:c r="D56" s="15" t="str">
        <x:v>王嘉琦</x:v>
      </x:c>
      <x:c r="E56" s="16" t="n">
        <x:v>3213.9</x:v>
      </x:c>
      <x:c r="F56" s="16"/>
      <x:c r="G56" s="16" t="n">
        <x:f>IFERROR(E56-F56,0)</x:f>
        <x:v>3213.9</x:v>
      </x:c>
      <x:c r="H56" s="17" t="n">
        <x:v>0.45270000000000005</x:v>
      </x:c>
      <x:c r="I56" s="17" t="n">
        <x:v>0.3333</x:v>
      </x:c>
      <x:c r="J56" s="15" t="n">
        <x:v>4</x:v>
      </x:c>
      <x:c r="K56" s="16" t="n">
        <x:v>1400</x:v>
      </x:c>
      <x:c r="L56" s="46" t="n">
        <x:v>600</x:v>
      </x:c>
    </x:row>
    <x:row r="57">
      <x:c r="A57" s="14" t="n">
        <x:v>56</x:v>
      </x:c>
      <x:c r="B57" s="15" t="str">
        <x:v>3区</x:v>
      </x:c>
      <x:c r="C57" s="15" t="str">
        <x:v>郑州美盛天街</x:v>
      </x:c>
      <x:c r="D57" s="15" t="str">
        <x:v>周浩磊</x:v>
      </x:c>
      <x:c r="E57" s="16" t="n">
        <x:v>3820</x:v>
      </x:c>
      <x:c r="F57" s="16"/>
      <x:c r="G57" s="16" t="n">
        <x:f>IFERROR(E57-F57,0)</x:f>
        <x:v>3820</x:v>
      </x:c>
      <x:c r="H57" s="17" t="n">
        <x:v>0.3379</x:v>
      </x:c>
      <x:c r="I57" s="17" t="n">
        <x:v>0.2778</x:v>
      </x:c>
      <x:c r="J57" s="15" t="n">
        <x:v>5</x:v>
      </x:c>
      <x:c r="K57" s="16" t="n">
        <x:v>2499</x:v>
      </x:c>
      <x:c r="L57" s="46" t="n">
        <x:v>0</x:v>
      </x:c>
    </x:row>
    <x:row r="58">
      <x:c r="A58" s="14" t="n">
        <x:v>57</x:v>
      </x:c>
      <x:c r="B58" s="15" t="str">
        <x:v>3区</x:v>
      </x:c>
      <x:c r="C58" s="15" t="str">
        <x:v>开封万达</x:v>
      </x:c>
      <x:c r="D58" s="15" t="str">
        <x:v>卢嘉诺</x:v>
      </x:c>
      <x:c r="E58" s="16" t="n">
        <x:v>2473.2</x:v>
      </x:c>
      <x:c r="F58" s="16"/>
      <x:c r="G58" s="16" t="n">
        <x:f>IFERROR(E58-F58,0)</x:f>
        <x:v>2473.2</x:v>
      </x:c>
      <x:c r="H58" s="17" t="n">
        <x:v>0.32049999999999995</x:v>
      </x:c>
      <x:c r="I58" s="17" t="n">
        <x:v>0.2727</x:v>
      </x:c>
      <x:c r="J58" s="15" t="n">
        <x:v>3</x:v>
      </x:c>
      <x:c r="K58" s="16" t="n">
        <x:v>1016</x:v>
      </x:c>
      <x:c r="L58" s="46" t="n">
        <x:v>600</x:v>
      </x:c>
    </x:row>
    <x:row r="59">
      <x:c r="A59" s="14" t="n">
        <x:v>58</x:v>
      </x:c>
      <x:c r="B59" s="15" t="str">
        <x:v>3区</x:v>
      </x:c>
      <x:c r="C59" s="15" t="str">
        <x:v>武汉武昌万象城</x:v>
      </x:c>
      <x:c r="D59" s="15" t="str">
        <x:v>殷翔坤</x:v>
      </x:c>
      <x:c r="E59" s="16" t="n">
        <x:v>2352</x:v>
      </x:c>
      <x:c r="F59" s="16" t="n">
        <x:v>409</x:v>
      </x:c>
      <x:c r="G59" s="16" t="n">
        <x:f>IFERROR(E59-F59,0)</x:f>
        <x:v>1943</x:v>
      </x:c>
      <x:c r="H59" s="17" t="n">
        <x:v>0.3136</x:v>
      </x:c>
      <x:c r="I59" s="17" t="n">
        <x:v>0.2727</x:v>
      </x:c>
      <x:c r="J59" s="15" t="n">
        <x:v>3</x:v>
      </x:c>
      <x:c r="K59" s="16" t="n">
        <x:v>1600</x:v>
      </x:c>
      <x:c r="L59" s="46" t="n">
        <x:v>0</x:v>
      </x:c>
    </x:row>
    <x:row r="60">
      <x:c r="A60" s="14" t="n">
        <x:v>59</x:v>
      </x:c>
      <x:c r="B60" s="15" t="str">
        <x:v>2区</x:v>
      </x:c>
      <x:c r="C60" s="15" t="str">
        <x:v>新乡万达</x:v>
      </x:c>
      <x:c r="D60" s="15" t="str">
        <x:v>李淑艳</x:v>
      </x:c>
      <x:c r="E60" s="16" t="n">
        <x:v>4292.3</x:v>
      </x:c>
      <x:c r="F60" s="16" t="n">
        <x:v>3309</x:v>
      </x:c>
      <x:c r="G60" s="16" t="n">
        <x:f>IFERROR(E60-F60,0)</x:f>
        <x:v>983.3000000000002</x:v>
      </x:c>
      <x:c r="H60" s="17" t="n">
        <x:v>0.44020000000000004</x:v>
      </x:c>
      <x:c r="I60" s="17" t="n">
        <x:v>0.2632</x:v>
      </x:c>
      <x:c r="J60" s="15" t="n">
        <x:v>5</x:v>
      </x:c>
      <x:c r="K60" s="16" t="n">
        <x:v>1913</x:v>
      </x:c>
      <x:c r="L60" s="46" t="n">
        <x:v>900</x:v>
      </x:c>
    </x:row>
    <x:row r="61">
      <x:c r="A61" s="14" t="n">
        <x:v>60</x:v>
      </x:c>
      <x:c r="B61" s="15" t="str">
        <x:v>2区</x:v>
      </x:c>
      <x:c r="C61" s="15" t="str">
        <x:v>洛阳泉舜</x:v>
      </x:c>
      <x:c r="D61" s="15" t="str">
        <x:v>王佳琳</x:v>
      </x:c>
      <x:c r="E61" s="16" t="n">
        <x:v>11872.2</x:v>
      </x:c>
      <x:c r="F61" s="16" t="n">
        <x:v>12048</x:v>
      </x:c>
      <x:c r="G61" s="16" t="n">
        <x:f>IFERROR(E61-F61,0)</x:f>
        <x:v>-175.79999999999927</x:v>
      </x:c>
      <x:c r="H61" s="17" t="n">
        <x:v>0.7915000000000001</x:v>
      </x:c>
      <x:c r="I61" s="17" t="n">
        <x:v>0.25</x:v>
      </x:c>
      <x:c r="J61" s="15" t="n">
        <x:v>7</x:v>
      </x:c>
      <x:c r="K61" s="16" t="n">
        <x:v>3585</x:v>
      </x:c>
      <x:c r="L61" s="46" t="n">
        <x:v>6200</x:v>
      </x:c>
    </x:row>
    <x:row r="62">
      <x:c r="A62" s="14" t="n">
        <x:v>61</x:v>
      </x:c>
      <x:c r="B62" s="15" t="str">
        <x:v>3区</x:v>
      </x:c>
      <x:c r="C62" s="15" t="str">
        <x:v>武汉荟聚</x:v>
      </x:c>
      <x:c r="D62" s="15" t="str">
        <x:v>严诗仪</x:v>
      </x:c>
      <x:c r="E62" s="16" t="n">
        <x:v>1246.35</x:v>
      </x:c>
      <x:c r="F62" s="16" t="n">
        <x:v>261</x:v>
      </x:c>
      <x:c r="G62" s="16" t="n">
        <x:f>IFERROR(E62-F62,0)</x:f>
        <x:v>985.3499999999999</x:v>
      </x:c>
      <x:c r="H62" s="17" t="n">
        <x:v>0.35609999999999997</x:v>
      </x:c>
      <x:c r="I62" s="17" t="n">
        <x:v>0.25</x:v>
      </x:c>
      <x:c r="J62" s="15" t="n">
        <x:v>7</x:v>
      </x:c>
      <x:c r="K62" s="16" t="n">
        <x:v>3585</x:v>
      </x:c>
      <x:c r="L62" s="46" t="n">
        <x:v>600</x:v>
      </x:c>
    </x:row>
    <x:row r="63">
      <x:c r="A63" s="14" t="n">
        <x:v>62</x:v>
      </x:c>
      <x:c r="B63" s="15" t="str">
        <x:v>3区</x:v>
      </x:c>
      <x:c r="C63" s="15" t="str">
        <x:v>安阳万达</x:v>
      </x:c>
      <x:c r="D63" s="15" t="str">
        <x:v>宋来</x:v>
      </x:c>
      <x:c r="E63" s="16" t="n">
        <x:v>5099</x:v>
      </x:c>
      <x:c r="F63" s="16"/>
      <x:c r="G63" s="16" t="n">
        <x:f>IFERROR(E63-F63,0)</x:f>
        <x:v>5099</x:v>
      </x:c>
      <x:c r="H63" s="17" t="n">
        <x:v>0.7214</x:v>
      </x:c>
      <x:c r="I63" s="17" t="n">
        <x:v>0.23079999999999998</x:v>
      </x:c>
      <x:c r="J63" s="15" t="n">
        <x:v>3</x:v>
      </x:c>
      <x:c r="K63" s="16" t="n">
        <x:v>1600</x:v>
      </x:c>
      <x:c r="L63" s="46" t="n">
        <x:v>2600</x:v>
      </x:c>
    </x:row>
    <x:row r="64">
      <x:c r="A64" s="14" t="n">
        <x:v>63</x:v>
      </x:c>
      <x:c r="B64" s="15" t="str">
        <x:v>3区</x:v>
      </x:c>
      <x:c r="C64" s="15" t="str">
        <x:v>安阳滑县吾悦</x:v>
      </x:c>
      <x:c r="D64" s="15" t="str">
        <x:v>范超凡</x:v>
      </x:c>
      <x:c r="E64" s="16" t="n">
        <x:v>2246.05</x:v>
      </x:c>
      <x:c r="F64" s="16" t="n">
        <x:v>2854</x:v>
      </x:c>
      <x:c r="G64" s="16" t="n">
        <x:f>IFERROR(E64-F64,0)</x:f>
        <x:v>-607.9499999999998</x:v>
      </x:c>
      <x:c r="H64" s="17" t="n">
        <x:v>0.2704</x:v>
      </x:c>
      <x:c r="I64" s="17" t="n">
        <x:v>0.23079999999999998</x:v>
      </x:c>
      <x:c r="J64" s="15" t="n">
        <x:v>3</x:v>
      </x:c>
      <x:c r="K64" s="16" t="n">
        <x:v>877.05</x:v>
      </x:c>
      <x:c r="L64" s="46" t="n">
        <x:v>638</x:v>
      </x:c>
    </x:row>
    <x:row r="65">
      <x:c r="A65" s="14" t="n">
        <x:v>64</x:v>
      </x:c>
      <x:c r="B65" s="15" t="str">
        <x:v>2区</x:v>
      </x:c>
      <x:c r="C65" s="15" t="str">
        <x:v>郑州惠济万达</x:v>
      </x:c>
      <x:c r="D65" s="15" t="str">
        <x:v>蒋雪梅</x:v>
      </x:c>
      <x:c r="E65" s="16" t="n">
        <x:v>895</x:v>
      </x:c>
      <x:c r="F65" s="16"/>
      <x:c r="G65" s="16" t="n">
        <x:f>IFERROR(E65-F65,0)</x:f>
        <x:v>895</x:v>
      </x:c>
      <x:c r="H65" s="17" t="n">
        <x:v>0</x:v>
      </x:c>
      <x:c r="I65" s="17" t="n">
        <x:v>0.2</x:v>
      </x:c>
      <x:c r="J65" s="15" t="n">
        <x:v>1</x:v>
      </x:c>
      <x:c r="K65" s="16" t="n">
        <x:v>895</x:v>
      </x:c>
      <x:c r="L65" s="46" t="n">
        <x:v>0</x:v>
      </x:c>
    </x:row>
    <x:row r="66">
      <x:c r="A66" s="14" t="n">
        <x:v>65</x:v>
      </x:c>
      <x:c r="B66" s="15" t="str">
        <x:v>2区</x:v>
      </x:c>
      <x:c r="C66" s="15" t="str">
        <x:v>洛阳中州万达</x:v>
      </x:c>
      <x:c r="D66" s="15" t="str">
        <x:v>张笑怡</x:v>
      </x:c>
      <x:c r="E66" s="16" t="n">
        <x:v>1660</x:v>
      </x:c>
      <x:c r="F66" s="16" t="n">
        <x:v>6319</x:v>
      </x:c>
      <x:c r="G66" s="16" t="n">
        <x:f>IFERROR(E66-F66,0)</x:f>
        <x:v>-4659</x:v>
      </x:c>
      <x:c r="H66" s="17" t="n">
        <x:v>0.664</x:v>
      </x:c>
      <x:c r="I66" s="17" t="n">
        <x:v>0.0833</x:v>
      </x:c>
      <x:c r="J66" s="15" t="n">
        <x:v>1</x:v>
      </x:c>
      <x:c r="K66" s="16" t="n">
        <x:v>199</x:v>
      </x:c>
      <x:c r="L66" s="46" t="n">
        <x:v>400</x:v>
      </x:c>
    </x:row>
    <x:row r="67">
      <x:c r="A67" s="19" t="n">
        <x:v>66</x:v>
      </x:c>
      <x:c r="B67" s="20" t="str">
        <x:v>1区</x:v>
      </x:c>
      <x:c r="C67" s="20" t="str">
        <x:v>襄阳高新万达</x:v>
      </x:c>
      <x:c r="D67" s="20" t="str">
        <x:v>张鑫雨</x:v>
      </x:c>
      <x:c r="E67" s="21" t="n">
        <x:v>475</x:v>
      </x:c>
      <x:c r="F67" s="21" t="n">
        <x:v>383</x:v>
      </x:c>
      <x:c r="G67" s="21" t="n">
        <x:f>IFERROR(E67-F67,0)</x:f>
        <x:v>92</x:v>
      </x:c>
      <x:c r="H67" s="22" t="n">
        <x:v>0</x:v>
      </x:c>
      <x:c r="I67" s="22" t="n">
        <x:v>0</x:v>
      </x:c>
      <x:c r="J67" s="20" t="n">
        <x:v>0</x:v>
      </x:c>
      <x:c r="K67" s="21" t="n">
        <x:v>0</x:v>
      </x:c>
      <x:c r="L67" s="4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3fa895e5f543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</x:cols>
  <x:sheetData>
    <x:row r="1" ht="28" customHeight="1">
      <x:c r="A1" s="11" t="str">
        <x:v>本周排名</x:v>
      </x:c>
      <x:c r="B1" s="12" t="str">
        <x:v>区域</x:v>
      </x:c>
      <x:c r="C1" s="12" t="str">
        <x:v>门店</x:v>
      </x:c>
      <x:c r="D1" s="12" t="str">
        <x:v>员工</x:v>
      </x:c>
      <x:c r="E1" s="12" t="str">
        <x:v>本周总金额</x:v>
      </x:c>
      <x:c r="F1" s="12" t="str">
        <x:v>上周总金额</x:v>
      </x:c>
      <x:c r="G1" s="12" t="str">
        <x:v>金额增减</x:v>
      </x:c>
      <x:c r="H1" s="12" t="str">
        <x:v>完成率</x:v>
      </x:c>
      <x:c r="I1" s="12" t="str">
        <x:v>新签办卡率</x:v>
      </x:c>
      <x:c r="J1" s="12" t="str">
        <x:v>新签卡数</x:v>
      </x:c>
      <x:c r="K1" s="12" t="str">
        <x:v>新签金额</x:v>
      </x:c>
      <x:c r="L1" s="13" t="str">
        <x:v>续卡金额</x:v>
      </x:c>
    </x:row>
    <x:row r="2">
      <x:c r="A2" s="14" t="n">
        <x:v>1</x:v>
      </x:c>
      <x:c r="B2" s="15" t="str">
        <x:v>2区</x:v>
      </x:c>
      <x:c r="C2" s="15" t="str">
        <x:v>洛阳泉舜</x:v>
      </x:c>
      <x:c r="D2" s="15" t="str">
        <x:v>王佳琳</x:v>
      </x:c>
      <x:c r="E2" s="16" t="n">
        <x:v>11872.2</x:v>
      </x:c>
      <x:c r="F2" s="16" t="n">
        <x:v>12048</x:v>
      </x:c>
      <x:c r="G2" s="16" t="n">
        <x:f>IFERROR(E2-F2,0)</x:f>
        <x:v>-175.79999999999927</x:v>
      </x:c>
      <x:c r="H2" s="17" t="n">
        <x:v>0.7915000000000001</x:v>
      </x:c>
      <x:c r="I2" s="17" t="n">
        <x:v>0.25</x:v>
      </x:c>
      <x:c r="J2" s="15" t="n">
        <x:v>7</x:v>
      </x:c>
      <x:c r="K2" s="16" t="n">
        <x:v>3585</x:v>
      </x:c>
      <x:c r="L2" s="46" t="n">
        <x:v>6200</x:v>
      </x:c>
    </x:row>
    <x:row r="3">
      <x:c r="A3" s="14" t="n">
        <x:v>2</x:v>
      </x:c>
      <x:c r="B3" s="15" t="str">
        <x:v>1区</x:v>
      </x:c>
      <x:c r="C3" s="15" t="str">
        <x:v>商丘万达</x:v>
      </x:c>
      <x:c r="D3" s="15" t="str">
        <x:v>谢航宇</x:v>
      </x:c>
      <x:c r="E3" s="16" t="n">
        <x:v>14700.1</x:v>
      </x:c>
      <x:c r="F3" s="16" t="n">
        <x:v>9062.1</x:v>
      </x:c>
      <x:c r="G3" s="16" t="n">
        <x:f>IFERROR(E3-F3,0)</x:f>
        <x:v>5638</x:v>
      </x:c>
      <x:c r="H3" s="17" t="n">
        <x:v>1.1053</x:v>
      </x:c>
      <x:c r="I3" s="17" t="n">
        <x:v>0.6452</x:v>
      </x:c>
      <x:c r="J3" s="15" t="n">
        <x:v>20</x:v>
      </x:c>
      <x:c r="K3" s="16" t="n">
        <x:v>7747.1</x:v>
      </x:c>
      <x:c r="L3" s="46" t="n">
        <x:v>6035</x:v>
      </x:c>
    </x:row>
    <x:row r="4">
      <x:c r="A4" s="14" t="n">
        <x:v>3</x:v>
      </x:c>
      <x:c r="B4" s="15" t="str">
        <x:v>2区</x:v>
      </x:c>
      <x:c r="C4" s="15" t="str">
        <x:v>焦作万达</x:v>
      </x:c>
      <x:c r="D4" s="15" t="str">
        <x:v>朱笛</x:v>
      </x:c>
      <x:c r="E4" s="16" t="n">
        <x:v>16580</x:v>
      </x:c>
      <x:c r="F4" s="16" t="n">
        <x:v>15286.6</x:v>
      </x:c>
      <x:c r="G4" s="16" t="n">
        <x:f>IFERROR(E4-F4,0)</x:f>
        <x:v>1293.3999999999996</x:v>
      </x:c>
      <x:c r="H4" s="17" t="n">
        <x:v>1.0253</x:v>
      </x:c>
      <x:c r="I4" s="17" t="n">
        <x:v>0.7105</x:v>
      </x:c>
      <x:c r="J4" s="15" t="n">
        <x:v>27</x:v>
      </x:c>
      <x:c r="K4" s="16" t="n">
        <x:v>10658</x:v>
      </x:c>
      <x:c r="L4" s="46" t="n">
        <x:v>5000</x:v>
      </x:c>
    </x:row>
    <x:row r="5">
      <x:c r="A5" s="14" t="n">
        <x:v>4</x:v>
      </x:c>
      <x:c r="B5" s="15" t="str">
        <x:v>1区</x:v>
      </x:c>
      <x:c r="C5" s="15" t="str">
        <x:v>信阳万达</x:v>
      </x:c>
      <x:c r="D5" s="15" t="str">
        <x:v>李立</x:v>
      </x:c>
      <x:c r="E5" s="16" t="n">
        <x:v>12111.5</x:v>
      </x:c>
      <x:c r="F5" s="16" t="n">
        <x:v>8220.7</x:v>
      </x:c>
      <x:c r="G5" s="16" t="n">
        <x:f>IFERROR(E5-F5,0)</x:f>
        <x:v>3890.7999999999993</x:v>
      </x:c>
      <x:c r="H5" s="17" t="n">
        <x:v>1.0093</x:v>
      </x:c>
      <x:c r="I5" s="17" t="n">
        <x:v>0.7082999999999999</x:v>
      </x:c>
      <x:c r="J5" s="15" t="n">
        <x:v>17</x:v>
      </x:c>
      <x:c r="K5" s="16" t="n">
        <x:v>6279.25</x:v>
      </x:c>
      <x:c r="L5" s="46" t="n">
        <x:v>4994.05</x:v>
      </x:c>
    </x:row>
    <x:row r="6">
      <x:c r="A6" s="14" t="n">
        <x:v>5</x:v>
      </x:c>
      <x:c r="B6" s="15" t="str">
        <x:v>2区</x:v>
      </x:c>
      <x:c r="C6" s="15" t="str">
        <x:v>洛阳泉舜</x:v>
      </x:c>
      <x:c r="D6" s="15" t="str">
        <x:v>关旭闳</x:v>
      </x:c>
      <x:c r="E6" s="16" t="n">
        <x:v>13806</x:v>
      </x:c>
      <x:c r="F6" s="16"/>
      <x:c r="G6" s="16" t="n">
        <x:f>IFERROR(E6-F6,0)</x:f>
        <x:v>13806</x:v>
      </x:c>
      <x:c r="H6" s="17" t="n">
        <x:v>0.9861</x:v>
      </x:c>
      <x:c r="I6" s="17" t="n">
        <x:v>0.4359</x:v>
      </x:c>
      <x:c r="J6" s="15" t="n">
        <x:v>17</x:v>
      </x:c>
      <x:c r="K6" s="16" t="n">
        <x:v>7039</x:v>
      </x:c>
      <x:c r="L6" s="46" t="n">
        <x:v>4300</x:v>
      </x:c>
    </x:row>
    <x:row r="7">
      <x:c r="A7" s="14" t="n">
        <x:v>6</x:v>
      </x:c>
      <x:c r="B7" s="15" t="str">
        <x:v>1区</x:v>
      </x:c>
      <x:c r="C7" s="15" t="str">
        <x:v>许昌魏都万达</x:v>
      </x:c>
      <x:c r="D7" s="15" t="str">
        <x:v>吉祥</x:v>
      </x:c>
      <x:c r="E7" s="16" t="n">
        <x:v>10680</x:v>
      </x:c>
      <x:c r="F7" s="16" t="n">
        <x:v>11110</x:v>
      </x:c>
      <x:c r="G7" s="16" t="n">
        <x:f>IFERROR(E7-F7,0)</x:f>
        <x:v>-430</x:v>
      </x:c>
      <x:c r="H7" s="17" t="n">
        <x:v>0.8042</x:v>
      </x:c>
      <x:c r="I7" s="17" t="n">
        <x:v>0.56</x:v>
      </x:c>
      <x:c r="J7" s="15" t="n">
        <x:v>14</x:v>
      </x:c>
      <x:c r="K7" s="16" t="n">
        <x:v>5670</x:v>
      </x:c>
      <x:c r="L7" s="46" t="n">
        <x:v>4000</x:v>
      </x:c>
    </x:row>
    <x:row r="8">
      <x:c r="A8" s="14" t="n">
        <x:v>7</x:v>
      </x:c>
      <x:c r="B8" s="15" t="str">
        <x:v>2区</x:v>
      </x:c>
      <x:c r="C8" s="15" t="str">
        <x:v>洛阳泉舜</x:v>
      </x:c>
      <x:c r="D8" s="15" t="str">
        <x:v>王若涵</x:v>
      </x:c>
      <x:c r="E8" s="16" t="n">
        <x:v>8711</x:v>
      </x:c>
      <x:c r="F8" s="16"/>
      <x:c r="G8" s="16" t="n">
        <x:f>IFERROR(E8-F8,0)</x:f>
        <x:v>8711</x:v>
      </x:c>
      <x:c r="H8" s="17" t="n">
        <x:v>0.7918999999999999</x:v>
      </x:c>
      <x:c r="I8" s="17" t="n">
        <x:v>0.8667</x:v>
      </x:c>
      <x:c r="J8" s="15" t="n">
        <x:v>13</x:v>
      </x:c>
      <x:c r="K8" s="16" t="n">
        <x:v>4783</x:v>
      </x:c>
      <x:c r="L8" s="46" t="n">
        <x:v>3493</x:v>
      </x:c>
    </x:row>
    <x:row r="9">
      <x:c r="A9" s="14" t="n">
        <x:v>8</x:v>
      </x:c>
      <x:c r="B9" s="15" t="str">
        <x:v>3区</x:v>
      </x:c>
      <x:c r="C9" s="15" t="str">
        <x:v>郑州美盛天街</x:v>
      </x:c>
      <x:c r="D9" s="15" t="str">
        <x:v>薛飘飘</x:v>
      </x:c>
      <x:c r="E9" s="16" t="n">
        <x:v>15583.01</x:v>
      </x:c>
      <x:c r="F9" s="16" t="n">
        <x:v>4174</x:v>
      </x:c>
      <x:c r="G9" s="16" t="n">
        <x:f>IFERROR(E9-F9,0)</x:f>
        <x:v>11409.01</x:v>
      </x:c>
      <x:c r="H9" s="17" t="n">
        <x:v>0.6842</x:v>
      </x:c>
      <x:c r="I9" s="17" t="n">
        <x:v>0.4878</x:v>
      </x:c>
      <x:c r="J9" s="15" t="n">
        <x:v>20</x:v>
      </x:c>
      <x:c r="K9" s="16" t="n">
        <x:v>10357</x:v>
      </x:c>
      <x:c r="L9" s="46" t="n">
        <x:v>3287</x:v>
      </x:c>
    </x:row>
    <x:row r="10">
      <x:c r="A10" s="14" t="n">
        <x:v>9</x:v>
      </x:c>
      <x:c r="B10" s="15" t="str">
        <x:v>2区</x:v>
      </x:c>
      <x:c r="C10" s="15" t="str">
        <x:v>洛阳中州万达</x:v>
      </x:c>
      <x:c r="D10" s="15" t="str">
        <x:v>党燕燕</x:v>
      </x:c>
      <x:c r="E10" s="16" t="n">
        <x:v>11860</x:v>
      </x:c>
      <x:c r="F10" s="16"/>
      <x:c r="G10" s="16" t="n">
        <x:f>IFERROR(E10-F10,0)</x:f>
        <x:v>11860</x:v>
      </x:c>
      <x:c r="H10" s="17" t="n">
        <x:v>1.186</x:v>
      </x:c>
      <x:c r="I10" s="17" t="n">
        <x:v>0.5640999999999999</x:v>
      </x:c>
      <x:c r="J10" s="15" t="n">
        <x:v>22</x:v>
      </x:c>
      <x:c r="K10" s="16" t="n">
        <x:v>6979</x:v>
      </x:c>
      <x:c r="L10" s="46" t="n">
        <x:v>3185</x:v>
      </x:c>
    </x:row>
    <x:row r="11">
      <x:c r="A11" s="14" t="n">
        <x:v>10</x:v>
      </x:c>
      <x:c r="B11" s="15" t="str">
        <x:v>1区</x:v>
      </x:c>
      <x:c r="C11" s="15" t="str">
        <x:v>许昌魏都万达</x:v>
      </x:c>
      <x:c r="D11" s="15" t="str">
        <x:v>孙灼柱</x:v>
      </x:c>
      <x:c r="E11" s="16" t="n">
        <x:v>7654.2</x:v>
      </x:c>
      <x:c r="F11" s="16"/>
      <x:c r="G11" s="16" t="n">
        <x:f>IFERROR(E11-F11,0)</x:f>
        <x:v>7654.2</x:v>
      </x:c>
      <x:c r="H11" s="17" t="n">
        <x:v>0.6968000000000001</x:v>
      </x:c>
      <x:c r="I11" s="17" t="n">
        <x:v>0.5263</x:v>
      </x:c>
      <x:c r="J11" s="15" t="n">
        <x:v>10</x:v>
      </x:c>
      <x:c r="K11" s="16" t="n">
        <x:v>4069</x:v>
      </x:c>
      <x:c r="L11" s="46" t="n">
        <x:v>2800</x:v>
      </x:c>
    </x:row>
    <x:row r="12">
      <x:c r="A12" s="14" t="n">
        <x:v>11</x:v>
      </x:c>
      <x:c r="B12" s="15" t="str">
        <x:v>3区</x:v>
      </x:c>
      <x:c r="C12" s="15" t="str">
        <x:v>郑州二七万象城</x:v>
      </x:c>
      <x:c r="D12" s="15" t="str">
        <x:v>橙子</x:v>
      </x:c>
      <x:c r="E12" s="16" t="n">
        <x:v>11777</x:v>
      </x:c>
      <x:c r="F12" s="16" t="n">
        <x:v>13084.9</x:v>
      </x:c>
      <x:c r="G12" s="16" t="n">
        <x:f>IFERROR(E12-F12,0)</x:f>
        <x:v>-1307.8999999999996</x:v>
      </x:c>
      <x:c r="H12" s="17" t="n">
        <x:v>0.9273</x:v>
      </x:c>
      <x:c r="I12" s="17" t="n">
        <x:v>0.5</x:v>
      </x:c>
      <x:c r="J12" s="15" t="n">
        <x:v>21</x:v>
      </x:c>
      <x:c r="K12" s="16" t="n">
        <x:v>7121</x:v>
      </x:c>
      <x:c r="L12" s="46" t="n">
        <x:v>2700</x:v>
      </x:c>
    </x:row>
    <x:row r="13">
      <x:c r="A13" s="14" t="n">
        <x:v>12</x:v>
      </x:c>
      <x:c r="B13" s="15" t="str">
        <x:v>3区</x:v>
      </x:c>
      <x:c r="C13" s="15" t="str">
        <x:v>安阳万达</x:v>
      </x:c>
      <x:c r="D13" s="15" t="str">
        <x:v>宋来</x:v>
      </x:c>
      <x:c r="E13" s="16" t="n">
        <x:v>5099</x:v>
      </x:c>
      <x:c r="F13" s="16"/>
      <x:c r="G13" s="16" t="n">
        <x:f>IFERROR(E13-F13,0)</x:f>
        <x:v>5099</x:v>
      </x:c>
      <x:c r="H13" s="17" t="n">
        <x:v>0.7214</x:v>
      </x:c>
      <x:c r="I13" s="17" t="n">
        <x:v>0.23079999999999998</x:v>
      </x:c>
      <x:c r="J13" s="15" t="n">
        <x:v>3</x:v>
      </x:c>
      <x:c r="K13" s="16" t="n">
        <x:v>1600</x:v>
      </x:c>
      <x:c r="L13" s="46" t="n">
        <x:v>2600</x:v>
      </x:c>
    </x:row>
    <x:row r="14">
      <x:c r="A14" s="14" t="n">
        <x:v>13</x:v>
      </x:c>
      <x:c r="B14" s="15" t="str">
        <x:v>3区</x:v>
      </x:c>
      <x:c r="C14" s="15" t="str">
        <x:v>开封万达</x:v>
      </x:c>
      <x:c r="D14" s="15" t="str">
        <x:v>李紫琪</x:v>
      </x:c>
      <x:c r="E14" s="16" t="n">
        <x:v>18454</x:v>
      </x:c>
      <x:c r="F14" s="16" t="n">
        <x:v>10680</x:v>
      </x:c>
      <x:c r="G14" s="16" t="n">
        <x:f>IFERROR(E14-F14,0)</x:f>
        <x:v>7774</x:v>
      </x:c>
      <x:c r="H14" s="17" t="n">
        <x:v>1.4417</x:v>
      </x:c>
      <x:c r="I14" s="17" t="n">
        <x:v>0.5667</x:v>
      </x:c>
      <x:c r="J14" s="15" t="n">
        <x:v>34</x:v>
      </x:c>
      <x:c r="K14" s="16" t="n">
        <x:v>13132</x:v>
      </x:c>
      <x:c r="L14" s="46" t="n">
        <x:v>2400</x:v>
      </x:c>
    </x:row>
    <x:row r="15">
      <x:c r="A15" s="14" t="n">
        <x:v>14</x:v>
      </x:c>
      <x:c r="B15" s="15" t="str">
        <x:v>1区</x:v>
      </x:c>
      <x:c r="C15" s="15" t="str">
        <x:v>商丘万达</x:v>
      </x:c>
      <x:c r="D15" s="15" t="str">
        <x:v>李桃</x:v>
      </x:c>
      <x:c r="E15" s="16" t="n">
        <x:v>5088.05</x:v>
      </x:c>
      <x:c r="F15" s="16"/>
      <x:c r="G15" s="16" t="n">
        <x:f>IFERROR(E15-F15,0)</x:f>
        <x:v>5088.05</x:v>
      </x:c>
      <x:c r="H15" s="17" t="n">
        <x:v>0.6501</x:v>
      </x:c>
      <x:c r="I15" s="17" t="n">
        <x:v>0.5</x:v>
      </x:c>
      <x:c r="J15" s="15" t="n">
        <x:v>6</x:v>
      </x:c>
      <x:c r="K15" s="16" t="n">
        <x:v>1961.05</x:v>
      </x:c>
      <x:c r="L15" s="46" t="n">
        <x:v>2394</x:v>
      </x:c>
    </x:row>
    <x:row r="16">
      <x:c r="A16" s="14" t="n">
        <x:v>15</x:v>
      </x:c>
      <x:c r="B16" s="15" t="str">
        <x:v>2区</x:v>
      </x:c>
      <x:c r="C16" s="15" t="str">
        <x:v>洛阳中州万达</x:v>
      </x:c>
      <x:c r="D16" s="15" t="str">
        <x:v>洋洋</x:v>
      </x:c>
      <x:c r="E16" s="16" t="n">
        <x:v>9113</x:v>
      </x:c>
      <x:c r="F16" s="16"/>
      <x:c r="G16" s="16" t="n">
        <x:f>IFERROR(E16-F16,0)</x:f>
        <x:v>9113</x:v>
      </x:c>
      <x:c r="H16" s="17" t="n">
        <x:v>1.3019</x:v>
      </x:c>
      <x:c r="I16" s="17" t="n">
        <x:v>0.6552</x:v>
      </x:c>
      <x:c r="J16" s="15" t="n">
        <x:v>19</x:v>
      </x:c>
      <x:c r="K16" s="16" t="n">
        <x:v>6072</x:v>
      </x:c>
      <x:c r="L16" s="46" t="n">
        <x:v>2200</x:v>
      </x:c>
    </x:row>
    <x:row r="17">
      <x:c r="A17" s="14" t="n">
        <x:v>16</x:v>
      </x:c>
      <x:c r="B17" s="15" t="str">
        <x:v>2区</x:v>
      </x:c>
      <x:c r="C17" s="15" t="str">
        <x:v>焦作万达</x:v>
      </x:c>
      <x:c r="D17" s="15" t="str">
        <x:v>王梓恬</x:v>
      </x:c>
      <x:c r="E17" s="16" t="n">
        <x:v>12372.4</x:v>
      </x:c>
      <x:c r="F17" s="16" t="n">
        <x:v>10165</x:v>
      </x:c>
      <x:c r="G17" s="16" t="n">
        <x:f>IFERROR(E17-F17,0)</x:f>
        <x:v>2207.3999999999996</x:v>
      </x:c>
      <x:c r="H17" s="17" t="n">
        <x:v>0.8745</x:v>
      </x:c>
      <x:c r="I17" s="17" t="n">
        <x:v>0.5111</x:v>
      </x:c>
      <x:c r="J17" s="15" t="n">
        <x:v>23</x:v>
      </x:c>
      <x:c r="K17" s="16" t="n">
        <x:v>8311</x:v>
      </x:c>
      <x:c r="L17" s="46" t="n">
        <x:v>2000</x:v>
      </x:c>
    </x:row>
    <x:row r="18">
      <x:c r="A18" s="14" t="n">
        <x:v>17</x:v>
      </x:c>
      <x:c r="B18" s="15" t="str">
        <x:v>2区</x:v>
      </x:c>
      <x:c r="C18" s="15" t="str">
        <x:v>周口万达</x:v>
      </x:c>
      <x:c r="D18" s="15" t="str">
        <x:v>冯瀚文</x:v>
      </x:c>
      <x:c r="E18" s="16" t="n">
        <x:v>6940</x:v>
      </x:c>
      <x:c r="F18" s="16" t="n">
        <x:v>5599.2</x:v>
      </x:c>
      <x:c r="G18" s="16" t="n">
        <x:f>IFERROR(E18-F18,0)</x:f>
        <x:v>1340.8000000000002</x:v>
      </x:c>
      <x:c r="H18" s="17" t="n">
        <x:v>0.9728</x:v>
      </x:c>
      <x:c r="I18" s="17" t="n">
        <x:v>0.52</x:v>
      </x:c>
      <x:c r="J18" s="15" t="n">
        <x:v>13</x:v>
      </x:c>
      <x:c r="K18" s="16" t="n">
        <x:v>3986</x:v>
      </x:c>
      <x:c r="L18" s="46" t="n">
        <x:v>1949</x:v>
      </x:c>
    </x:row>
    <x:row r="19">
      <x:c r="A19" s="14" t="n">
        <x:v>18</x:v>
      </x:c>
      <x:c r="B19" s="15" t="str">
        <x:v>1区</x:v>
      </x:c>
      <x:c r="C19" s="15" t="str">
        <x:v>南阳万达</x:v>
      </x:c>
      <x:c r="D19" s="15" t="str">
        <x:v>李想</x:v>
      </x:c>
      <x:c r="E19" s="16" t="n">
        <x:v>9070</x:v>
      </x:c>
      <x:c r="F19" s="16" t="n">
        <x:v>12510</x:v>
      </x:c>
      <x:c r="G19" s="16" t="n">
        <x:f>IFERROR(E19-F19,0)</x:f>
        <x:v>-3440</x:v>
      </x:c>
      <x:c r="H19" s="17" t="n">
        <x:v>0.7315</x:v>
      </x:c>
      <x:c r="I19" s="17" t="n">
        <x:v>0.7895</x:v>
      </x:c>
      <x:c r="J19" s="15" t="n">
        <x:v>15</x:v>
      </x:c>
      <x:c r="K19" s="16" t="n">
        <x:v>6650</x:v>
      </x:c>
      <x:c r="L19" s="46" t="n">
        <x:v>1846</x:v>
      </x:c>
    </x:row>
    <x:row r="20">
      <x:c r="A20" s="14" t="n">
        <x:v>19</x:v>
      </x:c>
      <x:c r="B20" s="15" t="str">
        <x:v>2区</x:v>
      </x:c>
      <x:c r="C20" s="15" t="str">
        <x:v>郑州惠济万达</x:v>
      </x:c>
      <x:c r="D20" s="15" t="str">
        <x:v>张运博</x:v>
      </x:c>
      <x:c r="E20" s="16" t="n">
        <x:v>5409</x:v>
      </x:c>
      <x:c r="F20" s="16"/>
      <x:c r="G20" s="16" t="n">
        <x:f>IFERROR(E20-F20,0)</x:f>
        <x:v>5409</x:v>
      </x:c>
      <x:c r="H20" s="17" t="n">
        <x:v>0.5212</x:v>
      </x:c>
      <x:c r="I20" s="17" t="n">
        <x:v>1</x:v>
      </x:c>
      <x:c r="J20" s="15" t="n">
        <x:v>7</x:v>
      </x:c>
      <x:c r="K20" s="16" t="n">
        <x:v>3537</x:v>
      </x:c>
      <x:c r="L20" s="46" t="n">
        <x:v>1800</x:v>
      </x:c>
    </x:row>
    <x:row r="21">
      <x:c r="A21" s="14" t="n">
        <x:v>20</x:v>
      </x:c>
      <x:c r="B21" s="15" t="str">
        <x:v>2区</x:v>
      </x:c>
      <x:c r="C21" s="15" t="str">
        <x:v>焦作万达</x:v>
      </x:c>
      <x:c r="D21" s="15" t="str">
        <x:v>张强</x:v>
      </x:c>
      <x:c r="E21" s="16" t="n">
        <x:v>5764</x:v>
      </x:c>
      <x:c r="F21" s="16"/>
      <x:c r="G21" s="16" t="n">
        <x:f>IFERROR(E21-F21,0)</x:f>
        <x:v>5764</x:v>
      </x:c>
      <x:c r="H21" s="17" t="n">
        <x:v>0.5703</x:v>
      </x:c>
      <x:c r="I21" s="17" t="n">
        <x:v>0.6667000000000001</x:v>
      </x:c>
      <x:c r="J21" s="15" t="n">
        <x:v>8</x:v>
      </x:c>
      <x:c r="K21" s="16" t="n">
        <x:v>3761</x:v>
      </x:c>
      <x:c r="L21" s="46" t="n">
        <x:v>1600</x:v>
      </x:c>
    </x:row>
    <x:row r="22">
      <x:c r="A22" s="14" t="n">
        <x:v>21</x:v>
      </x:c>
      <x:c r="B22" s="15" t="str">
        <x:v>2区</x:v>
      </x:c>
      <x:c r="C22" s="15" t="str">
        <x:v>周口万达</x:v>
      </x:c>
      <x:c r="D22" s="15" t="str">
        <x:v>郑梦婷</x:v>
      </x:c>
      <x:c r="E22" s="16" t="n">
        <x:v>7291</x:v>
      </x:c>
      <x:c r="F22" s="16" t="n">
        <x:v>5013.2</x:v>
      </x:c>
      <x:c r="G22" s="16" t="n">
        <x:f>IFERROR(E22-F22,0)</x:f>
        <x:v>2277.8</x:v>
      </x:c>
      <x:c r="H22" s="17" t="n">
        <x:v>1.022</x:v>
      </x:c>
      <x:c r="I22" s="17" t="n">
        <x:v>0.34380000000000005</x:v>
      </x:c>
      <x:c r="J22" s="15" t="n">
        <x:v>11</x:v>
      </x:c>
      <x:c r="K22" s="16" t="n">
        <x:v>4031</x:v>
      </x:c>
      <x:c r="L22" s="46" t="n">
        <x:v>1500</x:v>
      </x:c>
    </x:row>
    <x:row r="23">
      <x:c r="A23" s="14" t="n">
        <x:v>22</x:v>
      </x:c>
      <x:c r="B23" s="15" t="str">
        <x:v>3区</x:v>
      </x:c>
      <x:c r="C23" s="15" t="str">
        <x:v>开封万达</x:v>
      </x:c>
      <x:c r="D23" s="15" t="str">
        <x:v>易梦婷</x:v>
      </x:c>
      <x:c r="E23" s="16" t="n">
        <x:v>14255</x:v>
      </x:c>
      <x:c r="F23" s="16" t="n">
        <x:v>12640.6</x:v>
      </x:c>
      <x:c r="G23" s="16" t="n">
        <x:f>IFERROR(E23-F23,0)</x:f>
        <x:v>1614.3999999999996</x:v>
      </x:c>
      <x:c r="H23" s="17" t="n">
        <x:v>1.1137000000000001</x:v>
      </x:c>
      <x:c r="I23" s="17" t="n">
        <x:v>0.4808</x:v>
      </x:c>
      <x:c r="J23" s="15" t="n">
        <x:v>25</x:v>
      </x:c>
      <x:c r="K23" s="16" t="n">
        <x:v>10249</x:v>
      </x:c>
      <x:c r="L23" s="46" t="n">
        <x:v>1400</x:v>
      </x:c>
    </x:row>
    <x:row r="24">
      <x:c r="A24" s="14" t="n">
        <x:v>23</x:v>
      </x:c>
      <x:c r="B24" s="15" t="str">
        <x:v>2区</x:v>
      </x:c>
      <x:c r="C24" s="15" t="str">
        <x:v>新乡万达</x:v>
      </x:c>
      <x:c r="D24" s="15" t="str">
        <x:v>贵诗涵</x:v>
      </x:c>
      <x:c r="E24" s="16" t="n">
        <x:v>3477</x:v>
      </x:c>
      <x:c r="F24" s="16"/>
      <x:c r="G24" s="16" t="n">
        <x:f>IFERROR(E24-F24,0)</x:f>
        <x:v>3477</x:v>
      </x:c>
      <x:c r="H24" s="17" t="n">
        <x:v>0.4439</x:v>
      </x:c>
      <x:c r="I24" s="17" t="n">
        <x:v>0.3333</x:v>
      </x:c>
      <x:c r="J24" s="15" t="n">
        <x:v>3</x:v>
      </x:c>
      <x:c r="K24" s="16" t="n">
        <x:v>1465</x:v>
      </x:c>
      <x:c r="L24" s="46" t="n">
        <x:v>1400</x:v>
      </x:c>
    </x:row>
    <x:row r="25">
      <x:c r="A25" s="14" t="n">
        <x:v>24</x:v>
      </x:c>
      <x:c r="B25" s="15" t="str">
        <x:v>1区</x:v>
      </x:c>
      <x:c r="C25" s="15" t="str">
        <x:v>襄阳高新万达</x:v>
      </x:c>
      <x:c r="D25" s="15" t="str">
        <x:v>吴嘉丽</x:v>
      </x:c>
      <x:c r="E25" s="16" t="n">
        <x:v>13073</x:v>
      </x:c>
      <x:c r="F25" s="16" t="n">
        <x:v>14106.2</x:v>
      </x:c>
      <x:c r="G25" s="16" t="n">
        <x:f>IFERROR(E25-F25,0)</x:f>
        <x:v>-1033.2000000000007</x:v>
      </x:c>
      <x:c r="H25" s="17" t="n">
        <x:v>0.8820999999999999</x:v>
      </x:c>
      <x:c r="I25" s="17" t="n">
        <x:v>0.6415000000000001</x:v>
      </x:c>
      <x:c r="J25" s="15" t="n">
        <x:v>34</x:v>
      </x:c>
      <x:c r="K25" s="16" t="n">
        <x:v>9862</x:v>
      </x:c>
      <x:c r="L25" s="46" t="n">
        <x:v>1334</x:v>
      </x:c>
    </x:row>
    <x:row r="26">
      <x:c r="A26" s="14" t="n">
        <x:v>25</x:v>
      </x:c>
      <x:c r="B26" s="15" t="str">
        <x:v>2区</x:v>
      </x:c>
      <x:c r="C26" s="15" t="str">
        <x:v>郑州信万</x:v>
      </x:c>
      <x:c r="D26" s="15" t="str">
        <x:v>司聪慧</x:v>
      </x:c>
      <x:c r="E26" s="16" t="n">
        <x:v>3000</x:v>
      </x:c>
      <x:c r="F26" s="16"/>
      <x:c r="G26" s="16" t="n">
        <x:f>IFERROR(E26-F26,0)</x:f>
        <x:v>3000</x:v>
      </x:c>
      <x:c r="H26" s="17" t="n">
        <x:v>0.14679999999999999</x:v>
      </x:c>
      <x:c r="I26" s="17" t="n">
        <x:v>1</x:v>
      </x:c>
      <x:c r="J26" s="15" t="n">
        <x:v>4</x:v>
      </x:c>
      <x:c r="K26" s="16" t="n">
        <x:v>1800</x:v>
      </x:c>
      <x:c r="L26" s="46" t="n">
        <x:v>1200</x:v>
      </x:c>
    </x:row>
    <x:row r="27">
      <x:c r="A27" s="14" t="n">
        <x:v>26</x:v>
      </x:c>
      <x:c r="B27" s="15" t="str">
        <x:v>2区</x:v>
      </x:c>
      <x:c r="C27" s="15" t="str">
        <x:v>周口万达</x:v>
      </x:c>
      <x:c r="D27" s="15" t="str">
        <x:v>杨宁可</x:v>
      </x:c>
      <x:c r="E27" s="16" t="n">
        <x:v>3554</x:v>
      </x:c>
      <x:c r="F27" s="16"/>
      <x:c r="G27" s="16" t="n">
        <x:f>IFERROR(E27-F27,0)</x:f>
        <x:v>3554</x:v>
      </x:c>
      <x:c r="H27" s="17" t="n">
        <x:v>0.581</x:v>
      </x:c>
      <x:c r="I27" s="17" t="n">
        <x:v>0.35710000000000003</x:v>
      </x:c>
      <x:c r="J27" s="15" t="n">
        <x:v>5</x:v>
      </x:c>
      <x:c r="K27" s="16" t="n">
        <x:v>1577</x:v>
      </x:c>
      <x:c r="L27" s="46" t="n">
        <x:v>1099</x:v>
      </x:c>
    </x:row>
    <x:row r="28">
      <x:c r="A28" s="14" t="n">
        <x:v>27</x:v>
      </x:c>
      <x:c r="B28" s="15" t="str">
        <x:v>2区</x:v>
      </x:c>
      <x:c r="C28" s="15" t="str">
        <x:v>郑州惠济万达</x:v>
      </x:c>
      <x:c r="D28" s="15" t="str">
        <x:v>张赛宁</x:v>
      </x:c>
      <x:c r="E28" s="16" t="n">
        <x:v>4750</x:v>
      </x:c>
      <x:c r="F28" s="16" t="n">
        <x:v>2862</x:v>
      </x:c>
      <x:c r="G28" s="16" t="n">
        <x:f>IFERROR(E28-F28,0)</x:f>
        <x:v>1888</x:v>
      </x:c>
      <x:c r="H28" s="17" t="n">
        <x:v>0.4039</x:v>
      </x:c>
      <x:c r="I28" s="17" t="n">
        <x:v>0.75</x:v>
      </x:c>
      <x:c r="J28" s="15" t="n">
        <x:v>9</x:v>
      </x:c>
      <x:c r="K28" s="16" t="n">
        <x:v>3690</x:v>
      </x:c>
      <x:c r="L28" s="46" t="n">
        <x:v>1050</x:v>
      </x:c>
    </x:row>
    <x:row r="29">
      <x:c r="A29" s="14" t="n">
        <x:v>28</x:v>
      </x:c>
      <x:c r="B29" s="15" t="str">
        <x:v>3区</x:v>
      </x:c>
      <x:c r="C29" s="15" t="str">
        <x:v>武汉荟聚</x:v>
      </x:c>
      <x:c r="D29" s="15" t="str">
        <x:v>邵娜娜</x:v>
      </x:c>
      <x:c r="E29" s="16" t="n">
        <x:v>10736.55</x:v>
      </x:c>
      <x:c r="F29" s="16" t="n">
        <x:v>6784.95</x:v>
      </x:c>
      <x:c r="G29" s="16" t="n">
        <x:f>IFERROR(E29-F29,0)</x:f>
        <x:v>3951.5999999999995</x:v>
      </x:c>
      <x:c r="H29" s="17" t="n">
        <x:v>0.6547</x:v>
      </x:c>
      <x:c r="I29" s="17" t="n">
        <x:v>0.5806</x:v>
      </x:c>
      <x:c r="J29" s="15" t="n">
        <x:v>18</x:v>
      </x:c>
      <x:c r="K29" s="16" t="n">
        <x:v>7386</x:v>
      </x:c>
      <x:c r="L29" s="46" t="n">
        <x:v>1000</x:v>
      </x:c>
    </x:row>
    <x:row r="30">
      <x:c r="A30" s="14" t="n">
        <x:v>29</x:v>
      </x:c>
      <x:c r="B30" s="15" t="str">
        <x:v>3区</x:v>
      </x:c>
      <x:c r="C30" s="15" t="str">
        <x:v>郑州中原万达</x:v>
      </x:c>
      <x:c r="D30" s="15" t="str">
        <x:v>张茹</x:v>
      </x:c>
      <x:c r="E30" s="16" t="n">
        <x:v>6553</x:v>
      </x:c>
      <x:c r="F30" s="16" t="n">
        <x:v>6306</x:v>
      </x:c>
      <x:c r="G30" s="16" t="n">
        <x:f>IFERROR(E30-F30,0)</x:f>
        <x:v>247</x:v>
      </x:c>
      <x:c r="H30" s="17" t="n">
        <x:v>0.6553</x:v>
      </x:c>
      <x:c r="I30" s="17" t="n">
        <x:v>0.43479999999999996</x:v>
      </x:c>
      <x:c r="J30" s="15" t="n">
        <x:v>10</x:v>
      </x:c>
      <x:c r="K30" s="16" t="n">
        <x:v>4370</x:v>
      </x:c>
      <x:c r="L30" s="46" t="n">
        <x:v>1000</x:v>
      </x:c>
    </x:row>
    <x:row r="31">
      <x:c r="A31" s="14" t="n">
        <x:v>30</x:v>
      </x:c>
      <x:c r="B31" s="15" t="str">
        <x:v>1区</x:v>
      </x:c>
      <x:c r="C31" s="15" t="str">
        <x:v>南阳万达</x:v>
      </x:c>
      <x:c r="D31" s="15" t="str">
        <x:v>王佳婷</x:v>
      </x:c>
      <x:c r="E31" s="16" t="n">
        <x:v>5485</x:v>
      </x:c>
      <x:c r="F31" s="16"/>
      <x:c r="G31" s="16" t="n">
        <x:f>IFERROR(E31-F31,0)</x:f>
        <x:v>5485</x:v>
      </x:c>
      <x:c r="H31" s="17" t="n">
        <x:v>0.7031999999999999</x:v>
      </x:c>
      <x:c r="I31" s="17" t="n">
        <x:v>0.6667000000000001</x:v>
      </x:c>
      <x:c r="J31" s="15" t="n">
        <x:v>8</x:v>
      </x:c>
      <x:c r="K31" s="16" t="n">
        <x:v>3880</x:v>
      </x:c>
      <x:c r="L31" s="46" t="n">
        <x:v>1000</x:v>
      </x:c>
    </x:row>
    <x:row r="32">
      <x:c r="A32" s="14" t="n">
        <x:v>31</x:v>
      </x:c>
      <x:c r="B32" s="15" t="str">
        <x:v>2区</x:v>
      </x:c>
      <x:c r="C32" s="15" t="str">
        <x:v>洛阳泉舜</x:v>
      </x:c>
      <x:c r="D32" s="15" t="str">
        <x:v>杨翠鸽</x:v>
      </x:c>
      <x:c r="E32" s="16" t="n">
        <x:v>5383</x:v>
      </x:c>
      <x:c r="F32" s="16" t="n">
        <x:v>10104.2</x:v>
      </x:c>
      <x:c r="G32" s="16" t="n">
        <x:f>IFERROR(E32-F32,0)</x:f>
        <x:v>-4721.200000000001</x:v>
      </x:c>
      <x:c r="H32" s="17" t="n">
        <x:v>0.3845</x:v>
      </x:c>
      <x:c r="I32" s="17" t="n">
        <x:v>0.5556</x:v>
      </x:c>
      <x:c r="J32" s="15" t="n">
        <x:v>10</x:v>
      </x:c>
      <x:c r="K32" s="16" t="n">
        <x:v>3988</x:v>
      </x:c>
      <x:c r="L32" s="46" t="n">
        <x:v>1000</x:v>
      </x:c>
    </x:row>
    <x:row r="33">
      <x:c r="A33" s="14" t="n">
        <x:v>32</x:v>
      </x:c>
      <x:c r="B33" s="15" t="str">
        <x:v>1区</x:v>
      </x:c>
      <x:c r="C33" s="15" t="str">
        <x:v>南阳吾悦</x:v>
      </x:c>
      <x:c r="D33" s="15" t="str">
        <x:v>齐继风</x:v>
      </x:c>
      <x:c r="E33" s="16" t="n">
        <x:v>5207</x:v>
      </x:c>
      <x:c r="F33" s="16"/>
      <x:c r="G33" s="16" t="n">
        <x:f>IFERROR(E33-F33,0)</x:f>
        <x:v>5207</x:v>
      </x:c>
      <x:c r="H33" s="17" t="n">
        <x:v>0.4775</x:v>
      </x:c>
      <x:c r="I33" s="17" t="n">
        <x:v>0.7857</x:v>
      </x:c>
      <x:c r="J33" s="15" t="n">
        <x:v>11</x:v>
      </x:c>
      <x:c r="K33" s="16" t="n">
        <x:v>3897</x:v>
      </x:c>
      <x:c r="L33" s="46" t="n">
        <x:v>1000</x:v>
      </x:c>
    </x:row>
    <x:row r="34">
      <x:c r="A34" s="14" t="n">
        <x:v>33</x:v>
      </x:c>
      <x:c r="B34" s="15" t="str">
        <x:v>2区</x:v>
      </x:c>
      <x:c r="C34" s="15" t="str">
        <x:v>郑州信万</x:v>
      </x:c>
      <x:c r="D34" s="15" t="str">
        <x:v>余心如</x:v>
      </x:c>
      <x:c r="E34" s="16" t="n">
        <x:v>4981</x:v>
      </x:c>
      <x:c r="F34" s="16" t="n">
        <x:v>5899</x:v>
      </x:c>
      <x:c r="G34" s="16" t="n">
        <x:f>IFERROR(E34-F34,0)</x:f>
        <x:v>-918</x:v>
      </x:c>
      <x:c r="H34" s="17" t="n">
        <x:v>0.6225999999999999</x:v>
      </x:c>
      <x:c r="I34" s="17" t="n">
        <x:v>0.4375</x:v>
      </x:c>
      <x:c r="J34" s="15" t="n">
        <x:v>7</x:v>
      </x:c>
      <x:c r="K34" s="16" t="n">
        <x:v>3291</x:v>
      </x:c>
      <x:c r="L34" s="46" t="n">
        <x:v>1000</x:v>
      </x:c>
    </x:row>
    <x:row r="35">
      <x:c r="A35" s="14" t="n">
        <x:v>34</x:v>
      </x:c>
      <x:c r="B35" s="15" t="str">
        <x:v>3区</x:v>
      </x:c>
      <x:c r="C35" s="15" t="str">
        <x:v>武汉武昌万象城</x:v>
      </x:c>
      <x:c r="D35" s="15" t="str">
        <x:v>王艺</x:v>
      </x:c>
      <x:c r="E35" s="16" t="n">
        <x:v>3148</x:v>
      </x:c>
      <x:c r="F35" s="16"/>
      <x:c r="G35" s="16" t="n">
        <x:f>IFERROR(E35-F35,0)</x:f>
        <x:v>3148</x:v>
      </x:c>
      <x:c r="H35" s="17" t="n">
        <x:v>2.0987</x:v>
      </x:c>
      <x:c r="I35" s="17" t="n">
        <x:v>0.4286</x:v>
      </x:c>
      <x:c r="J35" s="15" t="n">
        <x:v>3</x:v>
      </x:c>
      <x:c r="K35" s="16" t="n">
        <x:v>1756</x:v>
      </x:c>
      <x:c r="L35" s="46" t="n">
        <x:v>1000</x:v>
      </x:c>
    </x:row>
    <x:row r="36">
      <x:c r="A36" s="14" t="n">
        <x:v>35</x:v>
      </x:c>
      <x:c r="B36" s="15" t="str">
        <x:v>1区</x:v>
      </x:c>
      <x:c r="C36" s="15" t="str">
        <x:v>襄阳高新万达</x:v>
      </x:c>
      <x:c r="D36" s="15" t="str">
        <x:v>倪书馨</x:v>
      </x:c>
      <x:c r="E36" s="16" t="n">
        <x:v>14469.2</x:v>
      </x:c>
      <x:c r="F36" s="16" t="n">
        <x:v>12392</x:v>
      </x:c>
      <x:c r="G36" s="16" t="n">
        <x:f>IFERROR(E36-F36,0)</x:f>
        <x:v>2077.2000000000007</x:v>
      </x:c>
      <x:c r="H36" s="17" t="n">
        <x:v>0.9763</x:v>
      </x:c>
      <x:c r="I36" s="17" t="n">
        <x:v>0.6</x:v>
      </x:c>
      <x:c r="J36" s="15" t="n">
        <x:v>30</x:v>
      </x:c>
      <x:c r="K36" s="16" t="n">
        <x:v>11338</x:v>
      </x:c>
      <x:c r="L36" s="46" t="n">
        <x:v>999</x:v>
      </x:c>
    </x:row>
    <x:row r="37">
      <x:c r="A37" s="14" t="n">
        <x:v>36</x:v>
      </x:c>
      <x:c r="B37" s="15" t="str">
        <x:v>2区</x:v>
      </x:c>
      <x:c r="C37" s="15" t="str">
        <x:v>新乡万达</x:v>
      </x:c>
      <x:c r="D37" s="15" t="str">
        <x:v>李淑艳</x:v>
      </x:c>
      <x:c r="E37" s="16" t="n">
        <x:v>4292.3</x:v>
      </x:c>
      <x:c r="F37" s="16" t="n">
        <x:v>3309</x:v>
      </x:c>
      <x:c r="G37" s="16" t="n">
        <x:f>IFERROR(E37-F37,0)</x:f>
        <x:v>983.3000000000002</x:v>
      </x:c>
      <x:c r="H37" s="17" t="n">
        <x:v>0.44020000000000004</x:v>
      </x:c>
      <x:c r="I37" s="17" t="n">
        <x:v>0.2632</x:v>
      </x:c>
      <x:c r="J37" s="15" t="n">
        <x:v>5</x:v>
      </x:c>
      <x:c r="K37" s="16" t="n">
        <x:v>1913</x:v>
      </x:c>
      <x:c r="L37" s="46" t="n">
        <x:v>900</x:v>
      </x:c>
    </x:row>
    <x:row r="38">
      <x:c r="A38" s="14" t="n">
        <x:v>37</x:v>
      </x:c>
      <x:c r="B38" s="15" t="str">
        <x:v>1区</x:v>
      </x:c>
      <x:c r="C38" s="15" t="str">
        <x:v>南阳吾悦</x:v>
      </x:c>
      <x:c r="D38" s="15" t="str">
        <x:v>樊鑫</x:v>
      </x:c>
      <x:c r="E38" s="16" t="n">
        <x:v>8556</x:v>
      </x:c>
      <x:c r="F38" s="16" t="n">
        <x:v>10590</x:v>
      </x:c>
      <x:c r="G38" s="16" t="n">
        <x:f>IFERROR(E38-F38,0)</x:f>
        <x:v>-2034</x:v>
      </x:c>
      <x:c r="H38" s="17" t="n">
        <x:v>0.6845</x:v>
      </x:c>
      <x:c r="I38" s="17" t="n">
        <x:v>0.5714</x:v>
      </x:c>
      <x:c r="J38" s="15" t="n">
        <x:v>16</x:v>
      </x:c>
      <x:c r="K38" s="16" t="n">
        <x:v>6469</x:v>
      </x:c>
      <x:c r="L38" s="46" t="n">
        <x:v>700</x:v>
      </x:c>
    </x:row>
    <x:row r="39">
      <x:c r="A39" s="14" t="n">
        <x:v>38</x:v>
      </x:c>
      <x:c r="B39" s="15" t="str">
        <x:v>3区</x:v>
      </x:c>
      <x:c r="C39" s="15" t="str">
        <x:v>安阳滑县吾悦</x:v>
      </x:c>
      <x:c r="D39" s="15" t="str">
        <x:v>范超凡</x:v>
      </x:c>
      <x:c r="E39" s="16" t="n">
        <x:v>2246.05</x:v>
      </x:c>
      <x:c r="F39" s="16" t="n">
        <x:v>2854</x:v>
      </x:c>
      <x:c r="G39" s="16" t="n">
        <x:f>IFERROR(E39-F39,0)</x:f>
        <x:v>-607.9499999999998</x:v>
      </x:c>
      <x:c r="H39" s="17" t="n">
        <x:v>0.2704</x:v>
      </x:c>
      <x:c r="I39" s="17" t="n">
        <x:v>0.23079999999999998</x:v>
      </x:c>
      <x:c r="J39" s="15" t="n">
        <x:v>3</x:v>
      </x:c>
      <x:c r="K39" s="16" t="n">
        <x:v>877.05</x:v>
      </x:c>
      <x:c r="L39" s="46" t="n">
        <x:v>638</x:v>
      </x:c>
    </x:row>
    <x:row r="40">
      <x:c r="A40" s="14" t="n">
        <x:v>39</x:v>
      </x:c>
      <x:c r="B40" s="15" t="str">
        <x:v>3区</x:v>
      </x:c>
      <x:c r="C40" s="15" t="str">
        <x:v>武汉荟聚</x:v>
      </x:c>
      <x:c r="D40" s="15" t="str">
        <x:v>李苗壮</x:v>
      </x:c>
      <x:c r="E40" s="16" t="n">
        <x:v>11526.75</x:v>
      </x:c>
      <x:c r="F40" s="16"/>
      <x:c r="G40" s="16" t="n">
        <x:f>IFERROR(E40-F40,0)</x:f>
        <x:v>11526.75</x:v>
      </x:c>
      <x:c r="H40" s="17" t="n">
        <x:v>0.7736</x:v>
      </x:c>
      <x:c r="I40" s="17" t="n">
        <x:v>0.4545</x:v>
      </x:c>
      <x:c r="J40" s="15" t="n">
        <x:v>20</x:v>
      </x:c>
      <x:c r="K40" s="16" t="n">
        <x:v>8071</x:v>
      </x:c>
      <x:c r="L40" s="46" t="n">
        <x:v>600</x:v>
      </x:c>
    </x:row>
    <x:row r="41">
      <x:c r="A41" s="14" t="n">
        <x:v>40</x:v>
      </x:c>
      <x:c r="B41" s="15" t="str">
        <x:v>3区</x:v>
      </x:c>
      <x:c r="C41" s="15" t="str">
        <x:v>郑州中原万达</x:v>
      </x:c>
      <x:c r="D41" s="15" t="str">
        <x:v>杨依梦</x:v>
      </x:c>
      <x:c r="E41" s="16" t="n">
        <x:v>6117.9</x:v>
      </x:c>
      <x:c r="F41" s="16" t="n">
        <x:v>959</x:v>
      </x:c>
      <x:c r="G41" s="16" t="n">
        <x:f>IFERROR(E41-F41,0)</x:f>
        <x:v>5158.9</x:v>
      </x:c>
      <x:c r="H41" s="17" t="n">
        <x:v>0.6118</x:v>
      </x:c>
      <x:c r="I41" s="17" t="n">
        <x:v>0.6667000000000001</x:v>
      </x:c>
      <x:c r="J41" s="15" t="n">
        <x:v>14</x:v>
      </x:c>
      <x:c r="K41" s="16" t="n">
        <x:v>4872.9</x:v>
      </x:c>
      <x:c r="L41" s="46" t="n">
        <x:v>600</x:v>
      </x:c>
    </x:row>
    <x:row r="42">
      <x:c r="A42" s="14" t="n">
        <x:v>41</x:v>
      </x:c>
      <x:c r="B42" s="15" t="str">
        <x:v>3区</x:v>
      </x:c>
      <x:c r="C42" s="15" t="str">
        <x:v>郑州中原万达</x:v>
      </x:c>
      <x:c r="D42" s="15" t="str">
        <x:v>王嘉琦</x:v>
      </x:c>
      <x:c r="E42" s="16" t="n">
        <x:v>3213.9</x:v>
      </x:c>
      <x:c r="F42" s="16"/>
      <x:c r="G42" s="16" t="n">
        <x:f>IFERROR(E42-F42,0)</x:f>
        <x:v>3213.9</x:v>
      </x:c>
      <x:c r="H42" s="17" t="n">
        <x:v>0.45270000000000005</x:v>
      </x:c>
      <x:c r="I42" s="17" t="n">
        <x:v>0.3333</x:v>
      </x:c>
      <x:c r="J42" s="15" t="n">
        <x:v>4</x:v>
      </x:c>
      <x:c r="K42" s="16" t="n">
        <x:v>1400</x:v>
      </x:c>
      <x:c r="L42" s="46" t="n">
        <x:v>600</x:v>
      </x:c>
    </x:row>
    <x:row r="43">
      <x:c r="A43" s="14" t="n">
        <x:v>42</x:v>
      </x:c>
      <x:c r="B43" s="15" t="str">
        <x:v>3区</x:v>
      </x:c>
      <x:c r="C43" s="15" t="str">
        <x:v>开封万达</x:v>
      </x:c>
      <x:c r="D43" s="15" t="str">
        <x:v>卢嘉诺</x:v>
      </x:c>
      <x:c r="E43" s="16" t="n">
        <x:v>2473.2</x:v>
      </x:c>
      <x:c r="F43" s="16"/>
      <x:c r="G43" s="16" t="n">
        <x:f>IFERROR(E43-F43,0)</x:f>
        <x:v>2473.2</x:v>
      </x:c>
      <x:c r="H43" s="17" t="n">
        <x:v>0.32049999999999995</x:v>
      </x:c>
      <x:c r="I43" s="17" t="n">
        <x:v>0.2727</x:v>
      </x:c>
      <x:c r="J43" s="15" t="n">
        <x:v>3</x:v>
      </x:c>
      <x:c r="K43" s="16" t="n">
        <x:v>1016</x:v>
      </x:c>
      <x:c r="L43" s="46" t="n">
        <x:v>600</x:v>
      </x:c>
    </x:row>
    <x:row r="44">
      <x:c r="A44" s="14" t="n">
        <x:v>43</x:v>
      </x:c>
      <x:c r="B44" s="15" t="str">
        <x:v>3区</x:v>
      </x:c>
      <x:c r="C44" s="15" t="str">
        <x:v>武汉荟聚</x:v>
      </x:c>
      <x:c r="D44" s="15" t="str">
        <x:v>严诗仪</x:v>
      </x:c>
      <x:c r="E44" s="16" t="n">
        <x:v>1246.35</x:v>
      </x:c>
      <x:c r="F44" s="16" t="n">
        <x:v>261</x:v>
      </x:c>
      <x:c r="G44" s="16" t="n">
        <x:f>IFERROR(E44-F44,0)</x:f>
        <x:v>985.3499999999999</x:v>
      </x:c>
      <x:c r="H44" s="17" t="n">
        <x:v>0.35609999999999997</x:v>
      </x:c>
      <x:c r="I44" s="17" t="n">
        <x:v>0.25</x:v>
      </x:c>
      <x:c r="J44" s="15" t="n">
        <x:v>7</x:v>
      </x:c>
      <x:c r="K44" s="16" t="n">
        <x:v>3585</x:v>
      </x:c>
      <x:c r="L44" s="46" t="n">
        <x:v>600</x:v>
      </x:c>
    </x:row>
    <x:row r="45">
      <x:c r="A45" s="14" t="n">
        <x:v>44</x:v>
      </x:c>
      <x:c r="B45" s="15" t="str">
        <x:v>1区</x:v>
      </x:c>
      <x:c r="C45" s="15" t="str">
        <x:v>南阳吾悦</x:v>
      </x:c>
      <x:c r="D45" s="15" t="str">
        <x:v>朱玫卉</x:v>
      </x:c>
      <x:c r="E45" s="16" t="n">
        <x:v>7483</x:v>
      </x:c>
      <x:c r="F45" s="16" t="n">
        <x:v>12765</x:v>
      </x:c>
      <x:c r="G45" s="16" t="n">
        <x:f>IFERROR(E45-F45,0)</x:f>
        <x:v>-5282</x:v>
      </x:c>
      <x:c r="H45" s="17" t="n">
        <x:v>0.5986</x:v>
      </x:c>
      <x:c r="I45" s="17" t="n">
        <x:v>0.7273000000000001</x:v>
      </x:c>
      <x:c r="J45" s="15" t="n">
        <x:v>16</x:v>
      </x:c>
      <x:c r="K45" s="16" t="n">
        <x:v>6553</x:v>
      </x:c>
      <x:c r="L45" s="46" t="n">
        <x:v>400</x:v>
      </x:c>
    </x:row>
    <x:row r="46">
      <x:c r="A46" s="14" t="n">
        <x:v>45</x:v>
      </x:c>
      <x:c r="B46" s="15" t="str">
        <x:v>3区</x:v>
      </x:c>
      <x:c r="C46" s="15" t="str">
        <x:v>安阳万达</x:v>
      </x:c>
      <x:c r="D46" s="15" t="str">
        <x:v>杨晶晶</x:v>
      </x:c>
      <x:c r="E46" s="16" t="n">
        <x:v>5450</x:v>
      </x:c>
      <x:c r="F46" s="16" t="n">
        <x:v>5037</x:v>
      </x:c>
      <x:c r="G46" s="16" t="n">
        <x:f>IFERROR(E46-F46,0)</x:f>
        <x:v>413</x:v>
      </x:c>
      <x:c r="H46" s="17" t="n">
        <x:v>0.5143</x:v>
      </x:c>
      <x:c r="I46" s="17" t="n">
        <x:v>0.4</x:v>
      </x:c>
      <x:c r="J46" s="15" t="n">
        <x:v>8</x:v>
      </x:c>
      <x:c r="K46" s="16" t="n">
        <x:v>3980</x:v>
      </x:c>
      <x:c r="L46" s="46" t="n">
        <x:v>400</x:v>
      </x:c>
    </x:row>
    <x:row r="47">
      <x:c r="A47" s="14" t="n">
        <x:v>46</x:v>
      </x:c>
      <x:c r="B47" s="15" t="str">
        <x:v>1区</x:v>
      </x:c>
      <x:c r="C47" s="15" t="str">
        <x:v>襄阳高新万达</x:v>
      </x:c>
      <x:c r="D47" s="15" t="str">
        <x:v>王爽</x:v>
      </x:c>
      <x:c r="E47" s="16" t="n">
        <x:v>4581</x:v>
      </x:c>
      <x:c r="F47" s="16"/>
      <x:c r="G47" s="16" t="n">
        <x:f>IFERROR(E47-F47,0)</x:f>
        <x:v>4581</x:v>
      </x:c>
      <x:c r="H47" s="17" t="n">
        <x:v>0.8521</x:v>
      </x:c>
      <x:c r="I47" s="17" t="n">
        <x:v>0.7059000000000001</x:v>
      </x:c>
      <x:c r="J47" s="15" t="n">
        <x:v>12</x:v>
      </x:c>
      <x:c r="K47" s="16" t="n">
        <x:v>3758</x:v>
      </x:c>
      <x:c r="L47" s="46" t="n">
        <x:v>400</x:v>
      </x:c>
    </x:row>
    <x:row r="48">
      <x:c r="A48" s="14" t="n">
        <x:v>47</x:v>
      </x:c>
      <x:c r="B48" s="15" t="str">
        <x:v>1区</x:v>
      </x:c>
      <x:c r="C48" s="15" t="str">
        <x:v>南阳万达</x:v>
      </x:c>
      <x:c r="D48" s="15" t="str">
        <x:v>徐瑞迎</x:v>
      </x:c>
      <x:c r="E48" s="16" t="n">
        <x:v>2494</x:v>
      </x:c>
      <x:c r="F48" s="16" t="n">
        <x:v>4814</x:v>
      </x:c>
      <x:c r="G48" s="16" t="n">
        <x:f>IFERROR(E48-F48,0)</x:f>
        <x:v>-2320</x:v>
      </x:c>
      <x:c r="H48" s="17" t="n">
        <x:v>0.3563</x:v>
      </x:c>
      <x:c r="I48" s="17" t="n">
        <x:v>0.625</x:v>
      </x:c>
      <x:c r="J48" s="15" t="n">
        <x:v>5</x:v>
      </x:c>
      <x:c r="K48" s="16" t="n">
        <x:v>2084</x:v>
      </x:c>
      <x:c r="L48" s="46" t="n">
        <x:v>400</x:v>
      </x:c>
    </x:row>
    <x:row r="49">
      <x:c r="A49" s="14" t="n">
        <x:v>48</x:v>
      </x:c>
      <x:c r="B49" s="15" t="str">
        <x:v>2区</x:v>
      </x:c>
      <x:c r="C49" s="15" t="str">
        <x:v>洛阳中州万达</x:v>
      </x:c>
      <x:c r="D49" s="15" t="str">
        <x:v>张笑怡</x:v>
      </x:c>
      <x:c r="E49" s="16" t="n">
        <x:v>1660</x:v>
      </x:c>
      <x:c r="F49" s="16" t="n">
        <x:v>6319</x:v>
      </x:c>
      <x:c r="G49" s="16" t="n">
        <x:f>IFERROR(E49-F49,0)</x:f>
        <x:v>-4659</x:v>
      </x:c>
      <x:c r="H49" s="17" t="n">
        <x:v>0.664</x:v>
      </x:c>
      <x:c r="I49" s="17" t="n">
        <x:v>0.0833</x:v>
      </x:c>
      <x:c r="J49" s="15" t="n">
        <x:v>1</x:v>
      </x:c>
      <x:c r="K49" s="16" t="n">
        <x:v>199</x:v>
      </x:c>
      <x:c r="L49" s="46" t="n">
        <x:v>400</x:v>
      </x:c>
    </x:row>
    <x:row r="50">
      <x:c r="A50" s="14" t="n">
        <x:v>49</x:v>
      </x:c>
      <x:c r="B50" s="15" t="str">
        <x:v>1区</x:v>
      </x:c>
      <x:c r="C50" s="15" t="str">
        <x:v>信阳万达</x:v>
      </x:c>
      <x:c r="D50" s="15" t="str">
        <x:v>胡功海</x:v>
      </x:c>
      <x:c r="E50" s="16" t="n">
        <x:v>2226.1</x:v>
      </x:c>
      <x:c r="F50" s="16"/>
      <x:c r="G50" s="16" t="n">
        <x:f>IFERROR(E50-F50,0)</x:f>
        <x:v>2226.1</x:v>
      </x:c>
      <x:c r="H50" s="17" t="n">
        <x:v>0.3153</x:v>
      </x:c>
      <x:c r="I50" s="17" t="n">
        <x:v>0.875</x:v>
      </x:c>
      <x:c r="J50" s="15" t="n">
        <x:v>7</x:v>
      </x:c>
      <x:c r="K50" s="16" t="n">
        <x:v>1741.1</x:v>
      </x:c>
      <x:c r="L50" s="46" t="n">
        <x:v>399</x:v>
      </x:c>
    </x:row>
    <x:row r="51">
      <x:c r="A51" s="14" t="n">
        <x:v>50</x:v>
      </x:c>
      <x:c r="B51" s="15" t="str">
        <x:v>2区</x:v>
      </x:c>
      <x:c r="C51" s="15" t="str">
        <x:v>郑州惠济万达</x:v>
      </x:c>
      <x:c r="D51" s="15" t="str">
        <x:v>杜珂源</x:v>
      </x:c>
      <x:c r="E51" s="16" t="n">
        <x:v>2897</x:v>
      </x:c>
      <x:c r="F51" s="16" t="n">
        <x:v>5408</x:v>
      </x:c>
      <x:c r="G51" s="16" t="n">
        <x:f>IFERROR(E51-F51,0)</x:f>
        <x:v>-2511</x:v>
      </x:c>
      <x:c r="H51" s="17" t="n">
        <x:v>0.2692</x:v>
      </x:c>
      <x:c r="I51" s="17" t="n">
        <x:v>0.4545</x:v>
      </x:c>
      <x:c r="J51" s="15" t="n">
        <x:v>5</x:v>
      </x:c>
      <x:c r="K51" s="16" t="n">
        <x:v>1891</x:v>
      </x:c>
      <x:c r="L51" s="46" t="n">
        <x:v>388</x:v>
      </x:c>
    </x:row>
    <x:row r="52">
      <x:c r="A52" s="14" t="n">
        <x:v>51</x:v>
      </x:c>
      <x:c r="B52" s="15" t="str">
        <x:v>2区</x:v>
      </x:c>
      <x:c r="C52" s="15" t="str">
        <x:v>洛阳中州万达</x:v>
      </x:c>
      <x:c r="D52" s="15" t="str">
        <x:v>霍亭芮</x:v>
      </x:c>
      <x:c r="E52" s="16" t="n">
        <x:v>2738</x:v>
      </x:c>
      <x:c r="F52" s="16"/>
      <x:c r="G52" s="16" t="n">
        <x:f>IFERROR(E52-F52,0)</x:f>
        <x:v>2738</x:v>
      </x:c>
      <x:c r="H52" s="17" t="n">
        <x:v>0.6084</x:v>
      </x:c>
      <x:c r="I52" s="17" t="n">
        <x:v>0.7</x:v>
      </x:c>
      <x:c r="J52" s="15" t="n">
        <x:v>7</x:v>
      </x:c>
      <x:c r="K52" s="16" t="n">
        <x:v>2234</x:v>
      </x:c>
      <x:c r="L52" s="46" t="n">
        <x:v>200</x:v>
      </x:c>
    </x:row>
    <x:row r="53">
      <x:c r="A53" s="14" t="n">
        <x:v>52</x:v>
      </x:c>
      <x:c r="B53" s="15" t="str">
        <x:v>3区</x:v>
      </x:c>
      <x:c r="C53" s="15" t="str">
        <x:v>武汉荟聚</x:v>
      </x:c>
      <x:c r="D53" s="15" t="str">
        <x:v>周坤琪</x:v>
      </x:c>
      <x:c r="E53" s="16" t="n">
        <x:v>11207.05</x:v>
      </x:c>
      <x:c r="F53" s="16"/>
      <x:c r="G53" s="16" t="n">
        <x:f>IFERROR(E53-F53,0)</x:f>
        <x:v>11207.05</x:v>
      </x:c>
      <x:c r="H53" s="17" t="n">
        <x:v>1.4009</x:v>
      </x:c>
      <x:c r="I53" s="17" t="n">
        <x:v>0.5</x:v>
      </x:c>
      <x:c r="J53" s="15" t="n">
        <x:v>18</x:v>
      </x:c>
      <x:c r="K53" s="16" t="n">
        <x:v>7667</x:v>
      </x:c>
      <x:c r="L53" s="46" t="n">
        <x:v>0</x:v>
      </x:c>
    </x:row>
    <x:row r="54">
      <x:c r="A54" s="14" t="n">
        <x:v>53</x:v>
      </x:c>
      <x:c r="B54" s="15" t="str">
        <x:v>3区</x:v>
      </x:c>
      <x:c r="C54" s="15" t="str">
        <x:v>郑州二七万象城</x:v>
      </x:c>
      <x:c r="D54" s="15" t="str">
        <x:v>夏佳静</x:v>
      </x:c>
      <x:c r="E54" s="16" t="n">
        <x:v>8397</x:v>
      </x:c>
      <x:c r="F54" s="16" t="n">
        <x:v>10041</x:v>
      </x:c>
      <x:c r="G54" s="16" t="n">
        <x:f>IFERROR(E54-F54,0)</x:f>
        <x:v>-1644</x:v>
      </x:c>
      <x:c r="H54" s="17" t="n">
        <x:v>0.6940000000000001</x:v>
      </x:c>
      <x:c r="I54" s="17" t="n">
        <x:v>0.4375</x:v>
      </x:c>
      <x:c r="J54" s="15" t="n">
        <x:v>14</x:v>
      </x:c>
      <x:c r="K54" s="16" t="n">
        <x:v>6634</x:v>
      </x:c>
      <x:c r="L54" s="46" t="n">
        <x:v>0</x:v>
      </x:c>
    </x:row>
    <x:row r="55">
      <x:c r="A55" s="14" t="n">
        <x:v>54</x:v>
      </x:c>
      <x:c r="B55" s="15" t="str">
        <x:v>3区</x:v>
      </x:c>
      <x:c r="C55" s="15" t="str">
        <x:v>安阳滑县吾悦</x:v>
      </x:c>
      <x:c r="D55" s="15" t="str">
        <x:v>汤明放</x:v>
      </x:c>
      <x:c r="E55" s="16" t="n">
        <x:v>4264</x:v>
      </x:c>
      <x:c r="F55" s="16"/>
      <x:c r="G55" s="16" t="n">
        <x:f>IFERROR(E55-F55,0)</x:f>
        <x:v>4264</x:v>
      </x:c>
      <x:c r="H55" s="17" t="n">
        <x:v>0.5134000000000001</x:v>
      </x:c>
      <x:c r="I55" s="17" t="n">
        <x:v>0.4583</x:v>
      </x:c>
      <x:c r="J55" s="15" t="n">
        <x:v>11</x:v>
      </x:c>
      <x:c r="K55" s="16" t="n">
        <x:v>3282</x:v>
      </x:c>
      <x:c r="L55" s="46" t="n">
        <x:v>0</x:v>
      </x:c>
    </x:row>
    <x:row r="56">
      <x:c r="A56" s="14" t="n">
        <x:v>55</x:v>
      </x:c>
      <x:c r="B56" s="15" t="str">
        <x:v>3区</x:v>
      </x:c>
      <x:c r="C56" s="15" t="str">
        <x:v>郑州美盛天街</x:v>
      </x:c>
      <x:c r="D56" s="15" t="str">
        <x:v>周浩磊</x:v>
      </x:c>
      <x:c r="E56" s="16" t="n">
        <x:v>3820</x:v>
      </x:c>
      <x:c r="F56" s="16"/>
      <x:c r="G56" s="16" t="n">
        <x:f>IFERROR(E56-F56,0)</x:f>
        <x:v>3820</x:v>
      </x:c>
      <x:c r="H56" s="17" t="n">
        <x:v>0.3379</x:v>
      </x:c>
      <x:c r="I56" s="17" t="n">
        <x:v>0.2778</x:v>
      </x:c>
      <x:c r="J56" s="15" t="n">
        <x:v>5</x:v>
      </x:c>
      <x:c r="K56" s="16" t="n">
        <x:v>2499</x:v>
      </x:c>
      <x:c r="L56" s="46" t="n">
        <x:v>0</x:v>
      </x:c>
    </x:row>
    <x:row r="57">
      <x:c r="A57" s="14" t="n">
        <x:v>56</x:v>
      </x:c>
      <x:c r="B57" s="15" t="str">
        <x:v>3区</x:v>
      </x:c>
      <x:c r="C57" s="15" t="str">
        <x:v>武汉武昌万象城</x:v>
      </x:c>
      <x:c r="D57" s="15" t="str">
        <x:v>刘希彤</x:v>
      </x:c>
      <x:c r="E57" s="16" t="n">
        <x:v>2900</x:v>
      </x:c>
      <x:c r="F57" s="16"/>
      <x:c r="G57" s="16" t="n">
        <x:f>IFERROR(E57-F57,0)</x:f>
        <x:v>2900</x:v>
      </x:c>
      <x:c r="H57" s="17" t="n">
        <x:v>0.9667</x:v>
      </x:c>
      <x:c r="I57" s="17" t="n">
        <x:v>1</x:v>
      </x:c>
      <x:c r="J57" s="15" t="n">
        <x:v>5</x:v>
      </x:c>
      <x:c r="K57" s="16" t="n">
        <x:v>2900</x:v>
      </x:c>
      <x:c r="L57" s="46" t="n">
        <x:v>0</x:v>
      </x:c>
    </x:row>
    <x:row r="58">
      <x:c r="A58" s="14" t="n">
        <x:v>57</x:v>
      </x:c>
      <x:c r="B58" s="15" t="str">
        <x:v>3区</x:v>
      </x:c>
      <x:c r="C58" s="15" t="str">
        <x:v>郑州二七万象城</x:v>
      </x:c>
      <x:c r="D58" s="15" t="str">
        <x:v>郑金原</x:v>
      </x:c>
      <x:c r="E58" s="16" t="n">
        <x:v>2550</x:v>
      </x:c>
      <x:c r="F58" s="16"/>
      <x:c r="G58" s="16" t="n">
        <x:f>IFERROR(E58-F58,0)</x:f>
        <x:v>2550</x:v>
      </x:c>
      <x:c r="H58" s="17" t="n">
        <x:v>0.3333</x:v>
      </x:c>
      <x:c r="I58" s="17" t="n">
        <x:v>0.625</x:v>
      </x:c>
      <x:c r="J58" s="15" t="n">
        <x:v>5</x:v>
      </x:c>
      <x:c r="K58" s="16" t="n">
        <x:v>2182</x:v>
      </x:c>
      <x:c r="L58" s="46" t="n">
        <x:v>0</x:v>
      </x:c>
    </x:row>
    <x:row r="59">
      <x:c r="A59" s="14" t="n">
        <x:v>58</x:v>
      </x:c>
      <x:c r="B59" s="15" t="str">
        <x:v>3区</x:v>
      </x:c>
      <x:c r="C59" s="15" t="str">
        <x:v>武汉武昌万象城</x:v>
      </x:c>
      <x:c r="D59" s="15" t="str">
        <x:v>殷翔坤</x:v>
      </x:c>
      <x:c r="E59" s="16" t="n">
        <x:v>2352</x:v>
      </x:c>
      <x:c r="F59" s="16" t="n">
        <x:v>409</x:v>
      </x:c>
      <x:c r="G59" s="16" t="n">
        <x:f>IFERROR(E59-F59,0)</x:f>
        <x:v>1943</x:v>
      </x:c>
      <x:c r="H59" s="17" t="n">
        <x:v>0.3136</x:v>
      </x:c>
      <x:c r="I59" s="17" t="n">
        <x:v>0.2727</x:v>
      </x:c>
      <x:c r="J59" s="15" t="n">
        <x:v>3</x:v>
      </x:c>
      <x:c r="K59" s="16" t="n">
        <x:v>1600</x:v>
      </x:c>
      <x:c r="L59" s="46" t="n">
        <x:v>0</x:v>
      </x:c>
    </x:row>
    <x:row r="60">
      <x:c r="A60" s="14" t="n">
        <x:v>59</x:v>
      </x:c>
      <x:c r="B60" s="15" t="str">
        <x:v>3区</x:v>
      </x:c>
      <x:c r="C60" s="15" t="str">
        <x:v>武汉武昌万象城</x:v>
      </x:c>
      <x:c r="D60" s="15" t="str">
        <x:v>朱丽萱</x:v>
      </x:c>
      <x:c r="E60" s="16" t="n">
        <x:v>2280</x:v>
      </x:c>
      <x:c r="F60" s="16"/>
      <x:c r="G60" s="16" t="n">
        <x:f>IFERROR(E60-F60,0)</x:f>
        <x:v>2280</x:v>
      </x:c>
      <x:c r="H60" s="17" t="n">
        <x:v>0.76</x:v>
      </x:c>
      <x:c r="I60" s="17" t="n">
        <x:v>1</x:v>
      </x:c>
      <x:c r="J60" s="15" t="n">
        <x:v>5</x:v>
      </x:c>
      <x:c r="K60" s="16" t="n">
        <x:v>2280</x:v>
      </x:c>
      <x:c r="L60" s="46" t="n">
        <x:v>0</x:v>
      </x:c>
    </x:row>
    <x:row r="61">
      <x:c r="A61" s="14" t="n">
        <x:v>60</x:v>
      </x:c>
      <x:c r="B61" s="15" t="str">
        <x:v>2区</x:v>
      </x:c>
      <x:c r="C61" s="15" t="str">
        <x:v>新乡万达</x:v>
      </x:c>
      <x:c r="D61" s="15" t="str">
        <x:v>徐桃森</x:v>
      </x:c>
      <x:c r="E61" s="16" t="n">
        <x:v>1085</x:v>
      </x:c>
      <x:c r="F61" s="16"/>
      <x:c r="G61" s="16" t="n">
        <x:f>IFERROR(E61-F61,0)</x:f>
        <x:v>1085</x:v>
      </x:c>
      <x:c r="H61" s="17" t="n">
        <x:v>0.2893</x:v>
      </x:c>
      <x:c r="I61" s="17" t="n">
        <x:v>1</x:v>
      </x:c>
      <x:c r="J61" s="15" t="n">
        <x:v>3</x:v>
      </x:c>
      <x:c r="K61" s="16" t="n">
        <x:v>1085</x:v>
      </x:c>
      <x:c r="L61" s="46" t="n">
        <x:v>0</x:v>
      </x:c>
    </x:row>
    <x:row r="62">
      <x:c r="A62" s="14" t="n">
        <x:v>61</x:v>
      </x:c>
      <x:c r="B62" s="15" t="str">
        <x:v>1区</x:v>
      </x:c>
      <x:c r="C62" s="15" t="str">
        <x:v>南阳吾悦</x:v>
      </x:c>
      <x:c r="D62" s="15" t="str">
        <x:v>蔺海芬</x:v>
      </x:c>
      <x:c r="E62" s="16" t="n">
        <x:v>1012</x:v>
      </x:c>
      <x:c r="F62" s="16" t="n">
        <x:v>1953</x:v>
      </x:c>
      <x:c r="G62" s="16" t="n">
        <x:f>IFERROR(E62-F62,0)</x:f>
        <x:v>-941</x:v>
      </x:c>
      <x:c r="H62" s="17" t="n">
        <x:v>0</x:v>
      </x:c>
      <x:c r="I62" s="17" t="n">
        <x:v>0.5</x:v>
      </x:c>
      <x:c r="J62" s="15" t="n">
        <x:v>2</x:v>
      </x:c>
      <x:c r="K62" s="16" t="n">
        <x:v>788</x:v>
      </x:c>
      <x:c r="L62" s="46" t="n">
        <x:v>0</x:v>
      </x:c>
    </x:row>
    <x:row r="63">
      <x:c r="A63" s="14" t="n">
        <x:v>62</x:v>
      </x:c>
      <x:c r="B63" s="15" t="str">
        <x:v>3区</x:v>
      </x:c>
      <x:c r="C63" s="15" t="str">
        <x:v>郑州美盛天街</x:v>
      </x:c>
      <x:c r="D63" s="15" t="str">
        <x:v>郭文字</x:v>
      </x:c>
      <x:c r="E63" s="16" t="n">
        <x:v>900</x:v>
      </x:c>
      <x:c r="F63" s="16"/>
      <x:c r="G63" s="16" t="n">
        <x:f>IFERROR(E63-F63,0)</x:f>
        <x:v>900</x:v>
      </x:c>
      <x:c r="H63" s="17" t="n">
        <x:v>0.1361</x:v>
      </x:c>
      <x:c r="I63" s="17" t="n">
        <x:v>1</x:v>
      </x:c>
      <x:c r="J63" s="15" t="n">
        <x:v>2</x:v>
      </x:c>
      <x:c r="K63" s="16" t="n">
        <x:v>900</x:v>
      </x:c>
      <x:c r="L63" s="46" t="n">
        <x:v>0</x:v>
      </x:c>
    </x:row>
    <x:row r="64">
      <x:c r="A64" s="14" t="n">
        <x:v>63</x:v>
      </x:c>
      <x:c r="B64" s="15" t="str">
        <x:v>2区</x:v>
      </x:c>
      <x:c r="C64" s="15" t="str">
        <x:v>郑州惠济万达</x:v>
      </x:c>
      <x:c r="D64" s="15" t="str">
        <x:v>蒋雪梅</x:v>
      </x:c>
      <x:c r="E64" s="16" t="n">
        <x:v>895</x:v>
      </x:c>
      <x:c r="F64" s="16"/>
      <x:c r="G64" s="16" t="n">
        <x:f>IFERROR(E64-F64,0)</x:f>
        <x:v>895</x:v>
      </x:c>
      <x:c r="H64" s="17" t="n">
        <x:v>0</x:v>
      </x:c>
      <x:c r="I64" s="17" t="n">
        <x:v>0.2</x:v>
      </x:c>
      <x:c r="J64" s="15" t="n">
        <x:v>1</x:v>
      </x:c>
      <x:c r="K64" s="16" t="n">
        <x:v>895</x:v>
      </x:c>
      <x:c r="L64" s="46" t="n">
        <x:v>0</x:v>
      </x:c>
    </x:row>
    <x:row r="65">
      <x:c r="A65" s="14" t="n">
        <x:v>64</x:v>
      </x:c>
      <x:c r="B65" s="15" t="str">
        <x:v>3区</x:v>
      </x:c>
      <x:c r="C65" s="15" t="str">
        <x:v>武汉武昌万象城</x:v>
      </x:c>
      <x:c r="D65" s="15" t="str">
        <x:v>夏梦梦</x:v>
      </x:c>
      <x:c r="E65" s="16" t="n">
        <x:v>800</x:v>
      </x:c>
      <x:c r="F65" s="16"/>
      <x:c r="G65" s="16" t="n">
        <x:f>IFERROR(E65-F65,0)</x:f>
        <x:v>800</x:v>
      </x:c>
      <x:c r="H65" s="17" t="n">
        <x:v>0</x:v>
      </x:c>
      <x:c r="I65" s="17" t="n">
        <x:v>1</x:v>
      </x:c>
      <x:c r="J65" s="15" t="n">
        <x:v>2</x:v>
      </x:c>
      <x:c r="K65" s="16" t="n">
        <x:v>800</x:v>
      </x:c>
      <x:c r="L65" s="46" t="n">
        <x:v>0</x:v>
      </x:c>
    </x:row>
    <x:row r="66">
      <x:c r="A66" s="14" t="n">
        <x:v>65</x:v>
      </x:c>
      <x:c r="B66" s="15" t="str">
        <x:v>2区</x:v>
      </x:c>
      <x:c r="C66" s="15" t="str">
        <x:v>郑州信万</x:v>
      </x:c>
      <x:c r="D66" s="15" t="str">
        <x:v>杜翔</x:v>
      </x:c>
      <x:c r="E66" s="16" t="n">
        <x:v>800</x:v>
      </x:c>
      <x:c r="F66" s="16"/>
      <x:c r="G66" s="16" t="n">
        <x:f>IFERROR(E66-F66,0)</x:f>
        <x:v>800</x:v>
      </x:c>
      <x:c r="H66" s="17" t="n">
        <x:v>0.2697</x:v>
      </x:c>
      <x:c r="I66" s="17" t="n">
        <x:v>1</x:v>
      </x:c>
      <x:c r="J66" s="15" t="n">
        <x:v>1</x:v>
      </x:c>
      <x:c r="K66" s="16" t="n">
        <x:v>800</x:v>
      </x:c>
      <x:c r="L66" s="46" t="n">
        <x:v>0</x:v>
      </x:c>
    </x:row>
    <x:row r="67">
      <x:c r="A67" s="19" t="n">
        <x:v>66</x:v>
      </x:c>
      <x:c r="B67" s="20" t="str">
        <x:v>1区</x:v>
      </x:c>
      <x:c r="C67" s="20" t="str">
        <x:v>襄阳高新万达</x:v>
      </x:c>
      <x:c r="D67" s="20" t="str">
        <x:v>张鑫雨</x:v>
      </x:c>
      <x:c r="E67" s="21" t="n">
        <x:v>475</x:v>
      </x:c>
      <x:c r="F67" s="21" t="n">
        <x:v>383</x:v>
      </x:c>
      <x:c r="G67" s="21" t="n">
        <x:f>IFERROR(E67-F67,0)</x:f>
        <x:v>92</x:v>
      </x:c>
      <x:c r="H67" s="22" t="n">
        <x:v>0</x:v>
      </x:c>
      <x:c r="I67" s="22" t="n">
        <x:v>0</x:v>
      </x:c>
      <x:c r="J67" s="20" t="n">
        <x:v>0</x:v>
      </x:c>
      <x:c r="K67" s="21" t="n">
        <x:v>0</x:v>
      </x:c>
      <x:c r="L67" s="4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805c7b3c6742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50" t="str">
        <x:v>本底表为截图审核版，不是飞书正式版</x:v>
      </x:c>
      <x:c r="B1" s="51"/>
      <x:c r="C1" s="51"/>
      <x:c r="D1" s="51"/>
      <x:c r="E1" s="51"/>
      <x:c r="F1" s="52"/>
    </x:row>
    <x:row r="2">
      <x:c r="A2" s="34"/>
      <x:c r="B2" s="35"/>
      <x:c r="C2" s="35"/>
      <x:c r="D2" s="35"/>
      <x:c r="E2" s="35"/>
      <x:c r="F2" s="36"/>
    </x:row>
    <x:row r="3">
      <x:c r="A3" s="37" t="str">
        <x:v>规则</x:v>
      </x:c>
      <x:c r="B3" s="38" t="str">
        <x:v>说明</x:v>
      </x:c>
      <x:c r="C3" s="38" t="str"/>
      <x:c r="D3" s="38" t="str"/>
      <x:c r="E3" s="38" t="str"/>
      <x:c r="F3" s="39" t="str"/>
    </x:row>
    <x:row r="4">
      <x:c r="A4" s="14" t="str">
        <x:v>正式门店</x:v>
      </x:c>
      <x:c r="B4" s="15" t="str">
        <x:v>21家：包含武汉武昌万象城、郑州美盛天街两家3区新店。</x:v>
      </x:c>
      <x:c r="C4" s="15" t="str"/>
      <x:c r="D4" s="15" t="str"/>
      <x:c r="E4" s="15" t="str"/>
      <x:c r="F4" s="18" t="str"/>
    </x:row>
    <x:row r="5">
      <x:c r="A5" s="14" t="str">
        <x:v>新签营收</x:v>
      </x:c>
      <x:c r="B5" s="15" t="str">
        <x:v>按总营收-续卡金额公式计算；禁止用截图“新卡金额”替代。</x:v>
      </x:c>
      <x:c r="C5" s="15" t="str"/>
      <x:c r="D5" s="15" t="str"/>
      <x:c r="E5" s="15" t="str"/>
      <x:c r="F5" s="18" t="str"/>
    </x:row>
    <x:row r="6">
      <x:c r="A6" s="14" t="str">
        <x:v>新客/老客</x:v>
      </x:c>
      <x:c r="B6" s="15" t="str">
        <x:v>19家老店新客数已按飞书补齐；两家新店新客数待拆分；老客数缺少同口径原始字段，保留待核。</x:v>
      </x:c>
      <x:c r="C6" s="15" t="str"/>
      <x:c r="D6" s="15" t="str"/>
      <x:c r="E6" s="15" t="str"/>
      <x:c r="F6" s="18" t="str"/>
    </x:row>
    <x:row r="7">
      <x:c r="A7" s="14" t="str">
        <x:v>静态资料</x:v>
      </x:c>
      <x:c r="B7" s="15" t="str">
        <x:v>两家新店店型/主题数待补，不允许猜测。</x:v>
      </x:c>
      <x:c r="C7" s="15" t="str"/>
      <x:c r="D7" s="15" t="str"/>
      <x:c r="E7" s="15" t="str"/>
      <x:c r="F7" s="18" t="str"/>
    </x:row>
    <x:row r="8">
      <x:c r="A8" s="14" t="str">
        <x:v>闭环</x:v>
      </x:c>
      <x:c r="B8" s="15" t="str">
        <x:v>城市经理行动、证据、原因和下周措施待填写。</x:v>
      </x:c>
      <x:c r="C8" s="15" t="str"/>
      <x:c r="D8" s="15" t="str"/>
      <x:c r="E8" s="15" t="str"/>
      <x:c r="F8" s="18" t="str"/>
    </x:row>
    <x:row r="9">
      <x:c r="A9" s="19" t="str">
        <x:v>版本</x:v>
      </x:c>
      <x:c r="B9" s="20" t="str">
        <x:v>2026/08/03-2026/08/09；来源为用户截图与上周固定链接。</x:v>
      </x:c>
      <x:c r="C9" s="20" t="str"/>
      <x:c r="D9" s="20" t="str"/>
      <x:c r="E9" s="20" t="str"/>
      <x:c r="F9" s="23" t="str"/>
    </x:row>
  </x:sheetData>
  <x:mergeCells>
    <x:mergeCell ref="A1:F1"/>
  </x:mergeCells>
  <x:pageMargins left="0.7" right="0.7" top="0.75" bottom="0.75" header="0.3" footer="0.3"/>
</x:worksheet>
</file>